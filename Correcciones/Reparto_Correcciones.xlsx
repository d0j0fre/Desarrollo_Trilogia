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4056fffbf4849c6/Desktop/Estudios/Ingenieria en Sistemas/Ultimo Cuatri/Implantacion/"/>
    </mc:Choice>
  </mc:AlternateContent>
  <xr:revisionPtr revIDLastSave="48" documentId="8_{8F8D4389-595E-4CF9-BD61-29F667513908}" xr6:coauthVersionLast="47" xr6:coauthVersionMax="47" xr10:uidLastSave="{479AA629-332A-4350-BE21-47EF3B914DB9}"/>
  <bookViews>
    <workbookView xWindow="-120" yWindow="-120" windowWidth="20730" windowHeight="11040" xr2:uid="{02318C6D-03B9-4FBB-AC05-EEF1D4A56137}"/>
  </bookViews>
  <sheets>
    <sheet name="Resumen" sheetId="1" r:id="rId1"/>
    <sheet name="Paquete 1 - Esteban" sheetId="2" r:id="rId2"/>
    <sheet name="Paquete 2 - Danny" sheetId="3" r:id="rId3"/>
    <sheet name="Paquete 3 - Gerald" sheetId="4" r:id="rId4"/>
    <sheet name="Paquete 4 - David" sheetId="5" r:id="rId5"/>
  </sheets>
  <definedNames>
    <definedName name="_xlnm._FilterDatabase" localSheetId="1" hidden="1">'Paquete 1 - Esteban'!$A$4:$I$48</definedName>
    <definedName name="_xlnm._FilterDatabase" localSheetId="2" hidden="1">'Paquete 2 - Danny'!$A$4:$I$20</definedName>
    <definedName name="_xlnm._FilterDatabase" localSheetId="3" hidden="1">'Paquete 3 - Gerald'!$A$4:$I$18</definedName>
    <definedName name="_xlnm._FilterDatabase" localSheetId="4" hidden="1">'Paquete 4 - David'!$A$4:$I$21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3" i="5" l="1"/>
  <c r="B20" i="4"/>
  <c r="B22" i="3"/>
  <c r="B50" i="2"/>
  <c r="H9" i="1"/>
  <c r="G9" i="1"/>
  <c r="F9" i="1"/>
  <c r="E9" i="1"/>
  <c r="D9" i="1"/>
</calcChain>
</file>

<file path=xl/sharedStrings.xml><?xml version="1.0" encoding="utf-8"?>
<sst xmlns="http://schemas.openxmlformats.org/spreadsheetml/2006/main" count="781" uniqueCount="409">
  <si>
    <t>Reparto de correcciones — Distribuidora JJ / Licorera La Bodega</t>
  </si>
  <si>
    <t>91 errores encontrados en las pruebas, repartidos en 4 paquetes. Cada paquete agrupa áreas del sistema que van de la mano, para que nadie choque con el trabajo de otro.</t>
  </si>
  <si>
    <t>Paquete</t>
  </si>
  <si>
    <t>Integrante</t>
  </si>
  <si>
    <t>Áreas que le tocan</t>
  </si>
  <si>
    <t>Errores</t>
  </si>
  <si>
    <t>Críticos</t>
  </si>
  <si>
    <t>Altos</t>
  </si>
  <si>
    <t>Medios</t>
  </si>
  <si>
    <t>Esfuerzo (puntos)</t>
  </si>
  <si>
    <t>De qué trata</t>
  </si>
  <si>
    <t>Paquete 1</t>
  </si>
  <si>
    <t>Esteban</t>
  </si>
  <si>
    <t>Productos e inventario
Promociones y combos
Carrito, compra en línea y portal del cliente
Devoluciones y garantías
Clientes y crédito
Activos y comodatos (equipos prestados a clientes)
Pedidos y facturación
Asistente virtual y sugerencias en Venta móvil
Recuperación de contraseña y correos
App móvil y notificaciones</t>
  </si>
  <si>
    <t>El paquete más pesado: incluye las pantallas que se caen, la app móvil, la recuperación de contraseña y los correos, los equipos prestados a clientes y el asistente virtual.</t>
  </si>
  <si>
    <t>Paquete 2</t>
  </si>
  <si>
    <t>Danny</t>
  </si>
  <si>
    <t>Roles y permisos
Empleados y planilla
Presupuestos y gastos</t>
  </si>
  <si>
    <t>Todo lo que usa el personal interno para administrar permisos, empleados, planilla y presupuestos. Son menos errores, pero varios son difíciles.</t>
  </si>
  <si>
    <t>Paquete 3</t>
  </si>
  <si>
    <t>Gerald</t>
  </si>
  <si>
    <t>Rutas, entregas y liquidaciones
Orden de visitas de las rutas
Flota y mantenimiento
Mi perfil</t>
  </si>
  <si>
    <t>Todo lo que pasa después de vender (armar rutas, ordenar visitas, entregar, liquidar y los vehículos), más la pantalla Mi perfil del usuario.</t>
  </si>
  <si>
    <t>Paquete 4</t>
  </si>
  <si>
    <t>David</t>
  </si>
  <si>
    <t>Reportes y tablero gerencial
Metas y desempeño de vendedores
Sugerencias de compra y tendencias
Chat interno</t>
  </si>
  <si>
    <t>Pantallas de consulta: reportes, tablero gerencial, metas de vendedores, sugerencias de compra y chat interno.</t>
  </si>
  <si>
    <t>Total</t>
  </si>
  <si>
    <t>Cómo vamos a trabajar</t>
  </si>
  <si>
    <t>1. Cada integrante trabaja solo en las áreas de su paquete. Si necesita cambiar algo de un área de otro compañero, le avisa antes.</t>
  </si>
  <si>
    <t>2. Cada uno trabaja en su propia rama de GitHub con su nombre (por ejemplo: correcciones-david) y sube avances seguido, con mensajes claros (por ejemplo: "Corrige BUG-13-03: el tablero avisa cuando las fechas están al revés").</t>
  </si>
  <si>
    <t>3. Se empieza por los errores de prioridad Crítica y Alta; después los de prioridad Media.</t>
  </si>
  <si>
    <t>4. Se corrige solo lo que el error pide (un campo, un mensaje, un botón, una regla). No se rediseñan pantallas ni se cambian cosas que funcionan.</t>
  </si>
  <si>
    <t>5. Para probar se usa la base de datos local. La base de Azure tiene horas limitadas al mes y se usa solo para la prueba final.</t>
  </si>
  <si>
    <t>6. Al terminar un error, cambiar su Estado a "Corregido" en su hoja y escribir un comentario corto de qué se hizo.</t>
  </si>
  <si>
    <t>7. Nadie une su rama a la versión principal por su cuenta: Esteban revisa y une los avances uno por uno.</t>
  </si>
  <si>
    <t>Dónde se tocan las áreas (coordinar antes de empezar)</t>
  </si>
  <si>
    <t>Quiénes</t>
  </si>
  <si>
    <t>Tema</t>
  </si>
  <si>
    <t>Qué acordar</t>
  </si>
  <si>
    <t>Esteban y Gerald</t>
  </si>
  <si>
    <t>Estados de los pedidos</t>
  </si>
  <si>
    <t>La app móvil cambia el pedido a "En ruta", "Entregado" o "No entregado" (Esteban) y la liquidación de rutas usa esos estados (Gerald). Acordar los nombres de los estados antes de empezar.</t>
  </si>
  <si>
    <t>Entregas pendientes</t>
  </si>
  <si>
    <t>El resumen del Asistente virtual (Esteban) cuenta las entregas pendientes de las rutas. Gerald es dueño de las rutas; Esteban solo lee esos datos.</t>
  </si>
  <si>
    <t>Esteban y Danny</t>
  </si>
  <si>
    <t>Ingresos y Egresos</t>
  </si>
  <si>
    <t>Danny le da al Gerente el permiso para ver Ingresos y Egresos; Esteban arregla la pantalla que se cae.</t>
  </si>
  <si>
    <t>Correos</t>
  </si>
  <si>
    <t>Esteban arregla el envío de correos del sistema. La boleta de pago en PDF (Danny) usa ese mismo envío.</t>
  </si>
  <si>
    <t>Danny y todos</t>
  </si>
  <si>
    <t>Roles y permisos</t>
  </si>
  <si>
    <t>Los cambios de permisos afectan los menús de todos. Danny avisa al grupo antes de subir un cambio de permisos (por ejemplo, el acceso del Auditor al reporte de equipos prestados).</t>
  </si>
  <si>
    <t>Qué significa cada columna</t>
  </si>
  <si>
    <t>Prioridad Crítica</t>
  </si>
  <si>
    <t>La pantalla se cae o el proceso no se puede completar. Se corrige primero.</t>
  </si>
  <si>
    <t>Prioridad Alta</t>
  </si>
  <si>
    <t>Falla importante en una regla del negocio o en la seguridad.</t>
  </si>
  <si>
    <t>Prioridad Media</t>
  </si>
  <si>
    <t>Falta un dato, un mensaje, una validación o una opción.</t>
  </si>
  <si>
    <t>Dificultad Alta</t>
  </si>
  <si>
    <t>Hay que construir algo que no existe o encontrar una falla de fondo.</t>
  </si>
  <si>
    <t>Dificultad Media</t>
  </si>
  <si>
    <t>Hay que cambiar una regla, un cálculo o una consulta.</t>
  </si>
  <si>
    <t>Dificultad Baja</t>
  </si>
  <si>
    <t>Hay que agregar un campo, un mensaje, una validación o un botón.</t>
  </si>
  <si>
    <t>Suma de la dificultad de los errores del paquete: cada error difícil vale 3, cada uno medio vale 2 y cada uno sencillo vale 1. Sirve para comparar la carga real de trabajo, no solo la cantidad.</t>
  </si>
  <si>
    <t>Error (número)</t>
  </si>
  <si>
    <t>Es el número con el que aparece en el reporte de errores que entregamos (G8_SC803_J_BugReport.pdf). Ahí están los pasos y las capturas.</t>
  </si>
  <si>
    <t>Paquete 1 — Esteban: Ventas, facturación, clientes, comodatos, asistente y app móvil</t>
  </si>
  <si>
    <t>44 errores. El paquete más pesado: incluye las pantallas que se caen, la app móvil, la recuperación de contraseña y los correos, los equipos prestados a clientes y el asistente virtual.</t>
  </si>
  <si>
    <t>N°</t>
  </si>
  <si>
    <t>Área</t>
  </si>
  <si>
    <t>Error (número del reporte)</t>
  </si>
  <si>
    <t>Qué falla</t>
  </si>
  <si>
    <t>Qué debe pasar</t>
  </si>
  <si>
    <t>Prioridad</t>
  </si>
  <si>
    <t>Dificultad</t>
  </si>
  <si>
    <t>Estado</t>
  </si>
  <si>
    <t>Comentarios</t>
  </si>
  <si>
    <t>Productos e inventario</t>
  </si>
  <si>
    <t>BUG-05-01</t>
  </si>
  <si>
    <t>Al guardar un producto (nuevo o editado) con datos válidos el sistema responde HTTP 405 y no guarda</t>
  </si>
  <si>
    <t>el sistema muestra «Producto creado correctamente.» y el producto aparece activo en el inventario y en el catálogo de la tienda.</t>
  </si>
  <si>
    <t>Crítica</t>
  </si>
  <si>
    <t>Alta</t>
  </si>
  <si>
    <t>Pendiente</t>
  </si>
  <si>
    <t>BUG-05-02</t>
  </si>
  <si>
    <t>Los productos no tienen fecha de vencimiento ni advertencia de productos próximos a vencer</t>
  </si>
  <si>
    <t>el producto puede registrarse con fecha de vencimiento y el sistema muestra la advertencia de producto próximo a vencer en el inventario y en el detalle.</t>
  </si>
  <si>
    <t>Media</t>
  </si>
  <si>
    <t>BUG-05-04</t>
  </si>
  <si>
    <t>El sistema permite inactivar un producto que todavía tiene stock en bodega</t>
  </si>
  <si>
    <t>el sistema bloquea la acción advirtiendo que primero debe vaciarse el inventario y el producto sigue activo.</t>
  </si>
  <si>
    <t>BUG-05-03</t>
  </si>
  <si>
    <t>El buscador de inventario no encuentra productos por código SKU</t>
  </si>
  <si>
    <t>el sistema muestra los productos que coinciden con el código o la categoría.</t>
  </si>
  <si>
    <t>Baja</t>
  </si>
  <si>
    <t>BUG-20-01</t>
  </si>
  <si>
    <t>Las alertas de vencimiento no se generan automáticamente: solo aparecen al presionar "Generar sin duplicar"</t>
  </si>
  <si>
    <t>el sistema emite automáticamente la verificación diaria de vencimientos, notifica al responsable pidiendo actualizar el documento y la alerta aparece en el listado sin intervención manual.</t>
  </si>
  <si>
    <t>Promociones y combos</t>
  </si>
  <si>
    <t>BUG-17-01</t>
  </si>
  <si>
    <t>El sistema permite crear una segunda promoción del mismo producto con vigencia traslapada</t>
  </si>
  <si>
    <t>el sistema bloquea la creación mostrando una alerta de reglas traslapadas y no guarda la nueva promoción.</t>
  </si>
  <si>
    <t>BUG-17-02</t>
  </si>
  <si>
    <t>Las promociones no tienen límite de unidades ni se inactivan al alcanzarlo</t>
  </si>
  <si>
    <t>la promoción tiene un límite de unidades y se inactiva automáticamente al alcanzarlo, aunque la fecha de fin no se haya cumplido, y el pedido adicional se cobra a precio regular.</t>
  </si>
  <si>
    <t>BUG-18-01</t>
  </si>
  <si>
    <t>Al crear un combo sin productos o con un producto repetido no se muestra ningún mensaje de validación</t>
  </si>
  <si>
    <t>el sistema muestra «Debe seleccionar al menos un producto…» o «Un producto no puede repetirse dentro del mismo combo.» y no guarda.</t>
  </si>
  <si>
    <t>Carrito, compra en línea y portal del cliente</t>
  </si>
  <si>
    <t>BUG-12-03</t>
  </si>
  <si>
    <t>El checkout acepta un pedido con más unidades que el stock disponible y solo descuenta el stock que existe</t>
  </si>
  <si>
    <t>si el stock se agota antes de finalizar la compra, el sistema muestra un mensaje y no crea el pedido con unidades que no existen.</t>
  </si>
  <si>
    <t>BUG-14-03</t>
  </si>
  <si>
    <t>El detalle de un pedido del portal del cliente responde «Servicio temporalmente no disponible» y bloquea la solicitud de garantía</t>
  </si>
  <si>
    <t>el cliente abre el detalle de un pedido Entregado, solicita la garantía, y el encargado la aprueba o rechaza con su resolución. el detalle de un pedido abre sin error, tanto en el portal del cliente como en Administración &gt; Pedidos.</t>
  </si>
  <si>
    <t>BUG-12-01</t>
  </si>
  <si>
    <t>El portal del cliente no tiene lista de facturas ni muestra facturas y pagos en el estado de cuenta</t>
  </si>
  <si>
    <t>el historial muestra el detalle de facturas y pagos, y el portal muestra la lista de facturas del cliente.</t>
  </si>
  <si>
    <t>BUG-12-02</t>
  </si>
  <si>
    <t>El estado de cuenta y las facturas no se pueden descargar: el botón solo imprime la pantalla</t>
  </si>
  <si>
    <t>el estado de cuenta y la factura se descargan como archivo y se confirma la descarga.</t>
  </si>
  <si>
    <t>Devoluciones y garantías</t>
  </si>
  <si>
    <t>BUG-14-01</t>
  </si>
  <si>
    <t>El historial de devoluciones no muestra el pedido asociado ni el cliente o referencia</t>
  </si>
  <si>
    <t>la devolución queda vinculada al pedido original y el número de pedido se muestra en el registro; el listado muestra producto, cantidad, cliente/referencia, motivo, fecha y estado.</t>
  </si>
  <si>
    <t>BUG-14-02</t>
  </si>
  <si>
    <t>No existe un reporte ni exportación de devoluciones para analizar tendencias</t>
  </si>
  <si>
    <t>el sistema genera un reporte de devoluciones por producto, cliente y motivo que puede consultarse o descargarse.</t>
  </si>
  <si>
    <t>Clientes y crédito</t>
  </si>
  <si>
    <t>BUG-06-02</t>
  </si>
  <si>
    <t>El crédito del cliente no se usa en los pedidos: no existe pedido a crédito ni validación de pagos vencidos</t>
  </si>
  <si>
    <t>el pedido a crédito se permite y baja el crédito disponible, y se bloquea cuando el cliente tiene pagos pendientes.</t>
  </si>
  <si>
    <t>BUG-06-01</t>
  </si>
  <si>
    <t>El sistema permite inactivar un cliente que tiene deuda pendiente</t>
  </si>
  <si>
    <t>el sistema bloquea la acción e indica que debe saldarse la cuenta antes de inactivar al cliente.</t>
  </si>
  <si>
    <t>BUG-06-03</t>
  </si>
  <si>
    <t>El detalle del cliente no muestra sus facturas ni su saldo</t>
  </si>
  <si>
    <t>el sistema muestra el historial comercial actualizado del cliente (pedidos, facturas y saldo).</t>
  </si>
  <si>
    <t>Activos y comodatos (equipos prestados a clientes)</t>
  </si>
  <si>
    <t>BUG-16-01</t>
  </si>
  <si>
    <t>Al asignar un comodato no se emite el contrato de comodato</t>
  </si>
  <si>
    <t>el equipo cambia a Prestado, queda vinculado al cliente con la fecha de entrega y se emite el contrato de comodato.</t>
  </si>
  <si>
    <t>BUG-16-02</t>
  </si>
  <si>
    <t>El comodato no se bloquea por morosidad: el cliente se escribe como texto libre sin validar su deuda</t>
  </si>
  <si>
    <t>ante un cliente con facturas vencidas el sistema lanza una alerta de riesgo y bloquea la asignación hasta que salde su cuenta.</t>
  </si>
  <si>
    <t>BUG-16-03</t>
  </si>
  <si>
    <t>Al devolver un equipo con avería no se genera ninguna alerta al área de taller o cobros</t>
  </si>
  <si>
    <t>el equipo ingresa con estado En Reparación y se genera una alerta al área de taller o cobros.</t>
  </si>
  <si>
    <t>BUG-16-04</t>
  </si>
  <si>
    <t>Rentabilidad de equipos no aplica la regla de 30 días ni genera una alerta de baja rentabilidad</t>
  </si>
  <si>
    <t>el sistema cruza ventas y activos y genera una alerta de auditoría que sugiere retirar el equipo del cliente que no compra en 30 días.</t>
  </si>
  <si>
    <t>BUG-16-05</t>
  </si>
  <si>
    <t>El historial de comodatos del activo no muestra la condición de entrega ni de devolución</t>
  </si>
  <si>
    <t>se muestran los préstamos anteriores con cliente, fechas de entrega y devolución y condición.</t>
  </si>
  <si>
    <t>BUG-16-06</t>
  </si>
  <si>
    <t>El reporte de equipos prestados no muestra la ubicación ni la fecha de entrega del equipo</t>
  </si>
  <si>
    <t>el sistema despliega la lista detallada de equipos prestados con cliente, ubicación y fecha de entrega.</t>
  </si>
  <si>
    <t>Pedidos y facturación</t>
  </si>
  <si>
    <t>BUG-09-03</t>
  </si>
  <si>
    <t>El detalle de cualquier pedido en Administración devuelve "No podemos completar esta solicitud" y no permite generar facturas</t>
  </si>
  <si>
    <t>el detalle del pedido abre y permite “Generar factura”; el sistema genera automáticamente la factura electrónica asociada y muestra “Factura FAC-xxx generada correctamente.”</t>
  </si>
  <si>
    <t>BUG-09-04</t>
  </si>
  <si>
    <t>La pantalla Ingresos y Egresos (/FinancialReportAdmin) devuelve "No podemos completar esta solicitud" con Administrador y Gerente</t>
  </si>
  <si>
    <t>la pantalla carga y permite consultar ingresos, egresos y balance por rango de fechas.</t>
  </si>
  <si>
    <t>BUG-09-05</t>
  </si>
  <si>
    <t>Registrar un pedido en Venta móvil devuelve "No podemos completar esta solicitud" e impide generar el comprobante de facturación _x000C_</t>
  </si>
  <si>
    <t>el pedido se registra y se factura, y el sistema envía el comprobante al correo registrado del cliente con el detalle de la factura.</t>
  </si>
  <si>
    <t>BUG-09-01</t>
  </si>
  <si>
    <t>El comprobante no se envía por mensajería digital: la factura solo ofrece correo</t>
  </si>
  <si>
    <t>al facturar un pedido de un cliente con número registrado, el sistema envía el comprobante mediante el canal digital configurado.</t>
  </si>
  <si>
    <t>Asistente virtual y sugerencias en Venta móvil</t>
  </si>
  <si>
    <t>BUG-26-05</t>
  </si>
  <si>
    <t>Venta móvil no sugiere ningún artículo complementario al agregar un producto al pedido</t>
  </si>
  <si>
    <t>al agregar el producto principal (cerveza) el asistente lanza una ventana emergente discreta que sugiere el artículo complementario; al descartarla no vuelve a insistir en el mismo pedido.</t>
  </si>
  <si>
    <t>BUG-26-02</t>
  </si>
  <si>
    <t>El Asistente responde "¿Cómo registro una devolución?" y "¿Cómo creo una ruta?" con estadísticas en lugar del paso a paso</t>
  </si>
  <si>
    <t>ante una pregunta de cómo usar un módulo, el asistente muestra el paso a paso o el enlace al documento correspondiente, con la navegación y los pasos correctos de cada módulo (devoluciones, rutas y facturas).</t>
  </si>
  <si>
    <t>BUG-26-04</t>
  </si>
  <si>
    <t>El resumen del Asistente indica "2 entregas pendientes" cuando las rutas despachadas tienen 6 paradas pendientes</t>
  </si>
  <si>
    <t>el asistente muestra un resumen con indicadores clave (ventas, pedidos, inventario) coherentes con los datos del sistema.</t>
  </si>
  <si>
    <t>BUG-26-06</t>
  </si>
  <si>
    <t>El Asistente no entiende "¿Cuánto se vendió este mes?" y no muestra "Información restringida" al Chofer</t>
  </si>
  <si>
    <t>el asistente responde "Información restringida", indicando que esa información no está disponible para su rol, tanto a "¿Cuánto se vendió este mes?" como a "¿Cuál es el saldo de créditos?".</t>
  </si>
  <si>
    <t>BUG-26-01</t>
  </si>
  <si>
    <t>El Asistente no muestra el mensaje "Escribe una pregunta." al enviar una pregunta vacía</t>
  </si>
  <si>
    <t>al enviar una pregunta vacía se muestra el mensaje "Escribe una pregunta.".</t>
  </si>
  <si>
    <t>BUG-26-03</t>
  </si>
  <si>
    <t>El Asistente no tiene opción para exportar la conversación a Excel (.xlsx)</t>
  </si>
  <si>
    <t>al presionar "Exportar" el sistema descarga el consolidado de la conversación en formato Excel (.xlsx).</t>
  </si>
  <si>
    <t>Recuperación de contraseña y correos</t>
  </si>
  <si>
    <t>BUG-01-01</t>
  </si>
  <si>
    <t>No llega el correo con el enlace de recuperación de contraseña</t>
  </si>
  <si>
    <t>el sistema muestra un mensaje de confirmación y envía al correo las instrucciones con el enlace para restablecer la contraseña.</t>
  </si>
  <si>
    <t>BUG-03-01</t>
  </si>
  <si>
    <t>El sistema no envía correos: ni la confirmación de consultas, ni el comprobante de pedidos, ni la recuperación de contraseña</t>
  </si>
  <si>
    <t>el sistema envía un correo de confirmación al cliente con el resumen de su consulta y le notifica la resolución cuando se marca como resuelta.</t>
  </si>
  <si>
    <t>BUG-01-02</t>
  </si>
  <si>
    <t>La recuperación de contraseña no indica que el correo no está registrado</t>
  </si>
  <si>
    <t>el sistema muestra un mensaje indicando que el correo no está registrado y no envía ningún correo.</t>
  </si>
  <si>
    <t>BUG-01-03</t>
  </si>
  <si>
    <t>Al superar el límite de solicitudes de recuperación el sistema muestra una página en blanco con error 429</t>
  </si>
  <si>
    <t>a partir del límite el sistema responde con un mensaje controlado de espera, sin error 500 y sin enviar más correos.</t>
  </si>
  <si>
    <t>App móvil y notificaciones</t>
  </si>
  <si>
    <t>BUG-07-02</t>
  </si>
  <si>
    <t>Los pedidos guardados sin conexión no se sincronizan: «Sincronizar ahora» queda en Error</t>
  </si>
  <si>
    <t>al recuperar la conexión los pedidos pendientes se envían solos, sin duplicarse, y quedan Retenidos si superan el umbral.</t>
  </si>
  <si>
    <t>BUG-07-01</t>
  </si>
  <si>
    <t>La app móvil del vendedor no permite crear un pedido sin conexión: la lista de clientes no carga</t>
  </si>
  <si>
    <t>la app móvil permite registrar un pedido y, sin conexión, guardarlo localmente como pendiente de sincronización.</t>
  </si>
  <si>
    <t>BUG-10-06</t>
  </si>
  <si>
    <t>El pedido no cambia de estado cuando el chofer lo marca En ruta o No entregado desde la app</t>
  </si>
  <si>
    <t>el pedido cambia a En ruta al iniciar el recorrido y queda como No entregado, requiriendo retorno a bodega, cuando la entrega falla.</t>
  </si>
  <si>
    <t>BUG-25-04</t>
  </si>
  <si>
    <t>La app móvil del chofer no muestra el mapa interactivo con la secuencia de visitas en la ruta</t>
  </si>
  <si>
    <t>al abrir la ruta del día se despliega el mapa interactivo con la secuencia numérica de visitas en el orden definido por logística.</t>
  </si>
  <si>
    <t>BUG-08-01</t>
  </si>
  <si>
    <t>Al asignar una ruta al chofer no se genera ninguna notificación; la web no tiene campana ni bandeja de notificaciones</t>
  </si>
  <si>
    <t>el sistema registra la asignación, el chofer ve la ruta en “Mis entregas” y recibe la notificación.</t>
  </si>
  <si>
    <t>BUG-23-05</t>
  </si>
  <si>
    <t>No se envía notificación push al celular del receptor de un mensaje directo (la app móvil no tiene chat ni notificaciones)</t>
  </si>
  <si>
    <t>el sistema guarda el mensaje, envía una notificación push al celular del receptor desconectado y el mensaje aparece al abrir el chat.</t>
  </si>
  <si>
    <t>BUG-10-08</t>
  </si>
  <si>
    <t>Al reasignar el chofer de una ruta, el nuevo chofer no recibe ninguna notificación</t>
  </si>
  <si>
    <t>el sistema registra la asignación y el nuevo chofer ve la ruta y es notificado.</t>
  </si>
  <si>
    <t>Avance:</t>
  </si>
  <si>
    <t>Paquete 2 — Danny: Administración interna: roles, empleados, planilla y finanzas</t>
  </si>
  <si>
    <t>16 errores. Todo lo que usa el personal interno para administrar permisos, empleados, planilla y presupuestos. Son menos errores, pero varios son difíciles.</t>
  </si>
  <si>
    <t>BUG-04-03</t>
  </si>
  <si>
    <t>Un usuario de un rol inactivo conserva el acceso a la Planilla</t>
  </si>
  <si>
    <t>el usuario no puede acceder a ninguno de los módulos que otorgaba el rol inactivo.</t>
  </si>
  <si>
    <t>BUG-04-01</t>
  </si>
  <si>
    <t>El sistema permite inactivar un rol que tiene usuarios asignados</t>
  </si>
  <si>
    <t>el sistema bloquea la acción indicando que el rol tiene usuarios asignados.</t>
  </si>
  <si>
    <t>BUG-09-02</t>
  </si>
  <si>
    <t>El Gerente no tiene la opción Ingresos y Egresos en el menú y los demás accesos de Finanzas devuelven Acceso denegado</t>
  </si>
  <si>
    <t>el Gerente accede a Finanzas &gt; Ingresos y Egresos y el menú solo muestra opciones a las que su rol tiene acceso.</t>
  </si>
  <si>
    <t>BUG-04-02</t>
  </si>
  <si>
    <t>El rol Administrador no tiene asignados todos los permisos: muestra 98 de 99</t>
  </si>
  <si>
    <t>el rol Administrador conserva todos los permisos, con los permisos deshabilitados y el aviso de que los mantiene todos por seguridad.</t>
  </si>
  <si>
    <t>BUG-16-07</t>
  </si>
  <si>
    <t>El rol Auditor recibe «Acceso denegado» en el reporte de equipos prestados que la HU le asigna</t>
  </si>
  <si>
    <t>el Gerente o el Auditor consultan la lista de equipos prestados con cliente, ubicación y fecha de entrega.</t>
  </si>
  <si>
    <t>Empleados y planilla</t>
  </si>
  <si>
    <t>BUG-11-02</t>
  </si>
  <si>
    <t>No se puede calcular la planilla de un empleado con jornadas aprobadas: responde «Servicio temporalmente no disponible»</t>
  </si>
  <si>
    <t>la planilla suma las horas extra aprobadas, aplica la deducción por ausencia y excluye las horas extra rechazadas.</t>
  </si>
  <si>
    <t>BUG-11-06</t>
  </si>
  <si>
    <t>Un empleado inactivado conserva el acceso mientras su sesión sigue abierta</t>
  </si>
  <si>
    <t>el empleado inactivo pierde el acceso al sistema.</t>
  </si>
  <si>
    <t>BUG-11-03</t>
  </si>
  <si>
    <t>La planilla no calcula la comisión del vendedor: las comisiones se digitan a mano</t>
  </si>
  <si>
    <t>el sistema extrae el total de ventas del mes del vendedor y calcula automáticamente la comisión a pagar.</t>
  </si>
  <si>
    <t>BUG-11-05</t>
  </si>
  <si>
    <t>La boleta de pago se entrega como página HTML y no como PDF con el desglose</t>
  </si>
  <si>
    <t>el sistema envía a cada empleado un PDF detallado con su desglose salarial.</t>
  </si>
  <si>
    <t>BUG-11-04</t>
  </si>
  <si>
    <t>Aprobar, pagar, revertir y notificar planillas no se registra en la auditoría</t>
  </si>
  <si>
    <t>con motivo la planilla queda Revertida y la reversión queda registrada en auditoría.</t>
  </si>
  <si>
    <t>BUG-11-01</t>
  </si>
  <si>
    <t>El formulario de empleado no tiene campo de identificación</t>
  </si>
  <si>
    <t>el expediente se crea digitando Rol, Nombre, identificación, Correo, Contraseña, Puesto, Departamento, Salario y Fecha de contratación.</t>
  </si>
  <si>
    <t>BUG-11-07</t>
  </si>
  <si>
    <t>El ajuste salarial no permite indicar una fecha de vigencia</t>
  </si>
  <si>
    <t>el ajuste se guarda con su fecha de vigencia y se usa en los cálculos posteriores a esa fecha.</t>
  </si>
  <si>
    <t>Presupuestos y gastos</t>
  </si>
  <si>
    <t>BUG-22-01</t>
  </si>
  <si>
    <t>La pantalla de detalle de cualquier presupuesto devuelve HTTP 503 "No podemos cargar este presupuesto"</t>
  </si>
  <si>
    <t>el detalle del presupuesto muestra las líneas mensuales y las acciones "Distribuir monto anual", "Presentar", "Aprobar" y "Rechazar", para distribuir y presentar el presupuesto, validar el descuadre, la segregación de funciones, el rechazo con motivo y la distribución al céntimo.</t>
  </si>
  <si>
    <t>BUG-22-02</t>
  </si>
  <si>
    <t>El Gerente ve el menú Finanzas pero Presupuestos, Gastos y Presupuesto vs. real responden 403 Acceso denegado</t>
  </si>
  <si>
    <t>el menú Finanzas solo debe mostrar opciones a las que el rol tiene acceso; si el Gerente aprueba presupuestos y consulta el comparativo presupuesto vs. real, debe poder abrir Presupuestos anuales, Gastos operativos y Presupuesto vs. real.</t>
  </si>
  <si>
    <t>BUG-22-03</t>
  </si>
  <si>
    <t>Un gasto sin presupuesto disponible se registra con "Nivel: Normal (0.00%)" y sin alerta de Presupuesto Excedido</t>
  </si>
  <si>
    <t>cuando el monto del gasto supera el saldo disponible de la categoría, el sistema muestra la alerta visual "Presupuesto Excedido" y permite guardar el gasto con estado "Requiere Aprobación".</t>
  </si>
  <si>
    <t>BUG-22-04</t>
  </si>
  <si>
    <t>El comparativo Presupuesto vs. real exporta un CSV solo con el detalle de gastos, no un Excel (.xlsx) con los datos de pantalla</t>
  </si>
  <si>
    <t>al presionar "Exportar" el sistema descarga el consolidado en formato Excel (.xlsx) con los mismos datos que se muestran en pantalla.</t>
  </si>
  <si>
    <t>Paquete 3 — Gerald: Logística: rutas, entregas y flota, y Mi perfil</t>
  </si>
  <si>
    <t>14 errores. Todo lo que pasa después de vender (armar rutas, ordenar visitas, entregar, liquidar y los vehículos), más la pantalla Mi perfil del usuario.</t>
  </si>
  <si>
    <t>Rutas, entregas y liquidaciones</t>
  </si>
  <si>
    <t>BUG-10-04</t>
  </si>
  <si>
    <t>El sistema liquida una ruta que sigue Despachada, sin haber finalizado</t>
  </si>
  <si>
    <t>no se puede liquidar una ruta que no ha finalizado.</t>
  </si>
  <si>
    <t>BUG-10-05</t>
  </si>
  <si>
    <t>El faltante de la liquidación no queda asociado al chofer</t>
  </si>
  <si>
    <t>se registra el faltante asociado al chofer cuando el efectivo es menor al registrado.</t>
  </si>
  <si>
    <t>BUG-10-07</t>
  </si>
  <si>
    <t>No existe la liquidación de mercadería de una ruta finalizada con pedidos no entregados</t>
  </si>
  <si>
    <t>al liquidar la ruta se devuelven al stock los productos no entregados y se bloquea el cierre con una alerta cuando falta mercadería.</t>
  </si>
  <si>
    <t>BUG-10-01</t>
  </si>
  <si>
    <t>La secuenciación automática de rutas ordena solo por cercanía y no considera la prioridad de los pedidos</t>
  </si>
  <si>
    <t>la ruta generada organiza las entregas según ubicación y prioridad.</t>
  </si>
  <si>
    <t>BUG-10-02</t>
  </si>
  <si>
    <t>El tablero de entregas lista rutas y contadores, no los pedidos En ruta ni los pendientes de entrega</t>
  </si>
  <si>
    <t>el tablero muestra el listado de pedidos En ruta y el de pedidos pendientes de entrega.</t>
  </si>
  <si>
    <t>BUG-10-03</t>
  </si>
  <si>
    <t>La liquidación de cobros cuadrada no genera ningún recibo</t>
  </si>
  <si>
    <t>la ruta se cierra financieramente y se genera el recibo cuando el dinero coincide.</t>
  </si>
  <si>
    <t>BUG-06-04</t>
  </si>
  <si>
    <t>Un cliente inactivo sigue apareciendo con sus pedidos pendientes al crear rutas</t>
  </si>
  <si>
    <t>el cliente con saldo cero se inactiva y se oculta de las ventas y de las rutas.</t>
  </si>
  <si>
    <t>Orden de visitas de las rutas</t>
  </si>
  <si>
    <t>BUG-25-01</t>
  </si>
  <si>
    <t>Secuenciar una ruta con clientes sin coordenadas la procesa en lugar de pedir fijar el punto antes</t>
  </si>
  <si>
    <t>el sistema alerta que hay puntos sin coordenada y solicita fijar el punto en el mapa manualmente antes de procesar la secuenciación.</t>
  </si>
  <si>
    <t>BUG-25-02</t>
  </si>
  <si>
    <t>Al secuenciar una ruta no se muestra el tiempo total estimado</t>
  </si>
  <si>
    <t>el sistema ordena las paradas por cercanía (lógica geoespacial) y muestra el tiempo total estimado de la ruta. al recalcular el sistema ajusta la ruta restante, actualiza los tiempos estimados de llegada y muestra "Ruta recalculada…".</t>
  </si>
  <si>
    <t>BUG-25-03</t>
  </si>
  <si>
    <t>El detalle de la ruta no tiene opción para exportar la hoja de ruta a Excel (.xlsx)</t>
  </si>
  <si>
    <t>al presionar "Exportar" en el detalle de la ruta el sistema descarga el consolidado de la ruta en formato Excel (.xlsx).</t>
  </si>
  <si>
    <t>Flota y mantenimiento</t>
  </si>
  <si>
    <t>BUG-15-01</t>
  </si>
  <si>
    <t>Una orden de mantenimiento correctivo En proceso no saca el vehículo de circulación</t>
  </si>
  <si>
    <t>mientras la orden correctiva está En proceso el vehículo queda fuera de circulación; al completarla (indicando el costo final) el vehículo vuelve a estado Activo y aparece disponible para asignar rutas.</t>
  </si>
  <si>
    <t>BUG-15-02</t>
  </si>
  <si>
    <t>El historial de mantenimientos no muestra la fecha de cada orden ni el próximo kilometraje</t>
  </si>
  <si>
    <t>se listan todas las órdenes del vehículo con tipo, fecha, taller, estado y costo con los montos correctos.</t>
  </si>
  <si>
    <t>Mi perfil</t>
  </si>
  <si>
    <t>BUG-02-01</t>
  </si>
  <si>
    <t>Ante una falla de conexión, Mi Perfil no muestra una vista ni un mensaje de error controlado</t>
  </si>
  <si>
    <t>el sistema muestra un mensaje de error controlado indicando que no fue posible cargar o guardar la información, sin mostrar detalles técnicos, y conserva los datos anteriores.</t>
  </si>
  <si>
    <t>BUG-02-02</t>
  </si>
  <si>
    <t>El campo Teléfono de Mi Perfil acepta más de 10 dígitos</t>
  </si>
  <si>
    <t>el sistema valida la longitud máxima y no guarda datos inválidos.</t>
  </si>
  <si>
    <t>Paquete 4 — David: Reportes, análisis y chat</t>
  </si>
  <si>
    <t>17 errores. Pantallas de consulta: reportes, tablero gerencial, metas de vendedores, sugerencias de compra y chat interno.</t>
  </si>
  <si>
    <t>Reportes y tablero gerencial</t>
  </si>
  <si>
    <t>BUG-13-01</t>
  </si>
  <si>
    <t>No existe exportación del inventario ni un reporte de inventario en Reportes</t>
  </si>
  <si>
    <t>el sistema genera el archivo descargable del reporte de inventario.</t>
  </si>
  <si>
    <t>BUG-13-02</t>
  </si>
  <si>
    <t>Los indicadores del tablero gerencial no se pueden seleccionar para ver gráficos detallados</t>
  </si>
  <si>
    <t>al seleccionar un indicador el sistema muestra gráficos detallados de ese indicador.</t>
  </si>
  <si>
    <t>BUG-13-03</t>
  </si>
  <si>
    <t>El tablero gerencial intercambia en silencio un rango con la fecha inicial mayor a la final, sin avisar</t>
  </si>
  <si>
    <t>el rango invertido se valida o se corrige con un aviso claro.</t>
  </si>
  <si>
    <t>Metas y desempeño de vendedores</t>
  </si>
  <si>
    <t>BUG-21-03</t>
  </si>
  <si>
    <t>El cumplimiento global del Reporte de KPIs suma ventas de un vendedor sin meta</t>
  </si>
  <si>
    <t>el consolidado muestra el cumplimiento de la meta contra la venta real de los vendedores con meta; las ventas de quien no tiene meta no deben alterar el porcentaje global.</t>
  </si>
  <si>
    <t>BUG-21-01</t>
  </si>
  <si>
    <t>Una nueva meta del mismo vendedor y mes sobrescribe la anterior sin advertencia ni confirmación</t>
  </si>
  <si>
    <t>el sistema lanza una advertencia de solapamiento y pide confirmación antes de sobrescribir la meta existente del vendedor en el mismo período.</t>
  </si>
  <si>
    <t>BUG-21-02</t>
  </si>
  <si>
    <t>El Reporte de KPIs no tiene opción para exportar a Excel (.xlsx)</t>
  </si>
  <si>
    <t>Sugerencias de compra y tendencias</t>
  </si>
  <si>
    <t>BUG-24-02</t>
  </si>
  <si>
    <t>Las Sugerencias de compra muestran promedio mensual 0.0 y cantidad 1 en productos con ventas, contradiciendo Inteligencia de inventario</t>
  </si>
  <si>
    <t>se muestran las sugerencias de reabastecimiento con las cantidades calculadas (las mismas que en Inteligencia de inventario) y no se crea ninguna orden de compra automáticamente.</t>
  </si>
  <si>
    <t>BUG-24-01</t>
  </si>
  <si>
    <t>Un producto sin historial de ventas se etiqueta "Sin ventas suficientes" y no solicita ingreso manual de la cantidad</t>
  </si>
  <si>
    <t>el sistema marca el producto con la etiqueta "Datos insuficientes" y solicita ingreso manual de la cantidad a pedir.</t>
  </si>
  <si>
    <t>BUG-24-03</t>
  </si>
  <si>
    <t>No existe la alerta gerencial de estancamiento ni la sugerencia de incluir el producto en promociones</t>
  </si>
  <si>
    <t>cuando un producto con lote próximo a vencer no se agotará antes de su vencimiento, el sistema envía una alerta gerencial que sugiere incluirlo en el módulo de promociones; la alerta se retira cuando las ventas repuntan.</t>
  </si>
  <si>
    <t>BUG-24-05</t>
  </si>
  <si>
    <t>Los totales de la Tendencia estacional no coinciden con el Reporte de ventas del mismo mes</t>
  </si>
  <si>
    <t>el valor del gráfico de un mes coincide con el total del Reporte de ventas del mismo mes.</t>
  </si>
  <si>
    <t>BUG-24-04</t>
  </si>
  <si>
    <t>La Tendencia estacional no tiene filtro por categoría de producto</t>
  </si>
  <si>
    <t>se selecciona Año inicial, Año final y la categoría de producto, se presiona "Actualizar" y el sistema muestra el gráfico de picos históricos de la categoría elegida con su tabla de datos.</t>
  </si>
  <si>
    <t>BUG-24-06</t>
  </si>
  <si>
    <t>La Tendencia estacional acepta Año inicial mayor que Año final y rangos de más de 10 años sin mensaje de validación</t>
  </si>
  <si>
    <t>el sistema muestra un mensaje de validación cuando el Año inicial es mayor que el Año final o el rango supera 10 años, y no genera el gráfico.</t>
  </si>
  <si>
    <t>BUG-24-07</t>
  </si>
  <si>
    <t>La Tendencia estacional no tiene opción para exportar a Excel (.xlsx)</t>
  </si>
  <si>
    <t>al presionar "Exportar" el sistema descarga el consolidado de tendencias en formato Excel (.xlsx).</t>
  </si>
  <si>
    <t>Chat interno</t>
  </si>
  <si>
    <t>BUG-23-01</t>
  </si>
  <si>
    <t>Los mensajes directos del chat no muestran doble check cuando el destinatario los recibe</t>
  </si>
  <si>
    <t>el destinatario conectado recibe el mensaje instantáneamente y el mensaje del emisor se marca con doble check.</t>
  </si>
  <si>
    <t>BUG-23-02</t>
  </si>
  <si>
    <t>El chat no muestra ningún aviso al enviar un mensaje vacío o solo con espacios</t>
  </si>
  <si>
    <t>el sistema no envía los mensajes vacíos o solo con espacios ni los mayores a 1000 caracteres y muestra el aviso correspondiente en cada caso.</t>
  </si>
  <si>
    <t>BUG-23-03</t>
  </si>
  <si>
    <t>La búsqueda de un solo carácter muestra "No se encontraron coincidencias." en lugar de pedir al menos dos caracteres</t>
  </si>
  <si>
    <t>al buscar con un solo carácter se muestra "Escriba al menos dos caracteres para buscar." y no se ejecuta la búsqueda.</t>
  </si>
  <si>
    <t>BUG-23-04</t>
  </si>
  <si>
    <t>Los resultados de la búsqueda del chat no tienen opción para exportar a Excel (.xlsx)</t>
  </si>
  <si>
    <t>al presionar "Exportar" sobre los resultados el sistema descarga los resultados en formato Excel (.xlsx).</t>
  </si>
  <si>
    <t>Corregido</t>
  </si>
  <si>
    <t>Procedimientos de productos con el contrato de la app. Migración 0210</t>
  </si>
  <si>
    <t>Fecha de vencimiento y advertencia a 30 días. Migración 0211</t>
  </si>
  <si>
    <t>No se inactiva un producto con stock</t>
  </si>
  <si>
    <t>Búsqueda por SKU. Migración 0212</t>
  </si>
  <si>
    <t>Verificación diaria automática (servicio en segundo plano)</t>
  </si>
  <si>
    <t>Rechaza promociones traslapadas. Migración 0213</t>
  </si>
  <si>
    <t>Límite de unidades con inactivación automática. El pedido que cruza el límite conserva el descuento. Migración 0214</t>
  </si>
  <si>
    <t>Mensajes de validación visibles al crear combo</t>
  </si>
  <si>
    <t>Misma causa que BUG-09-03 (0200)</t>
  </si>
  <si>
    <t>sp_Admin_GetOrderHeader restaurado al contrato correcto. Migración 0200</t>
  </si>
  <si>
    <t>Egresos leídos de GastosOperativos (la tabla Gastos no existe)</t>
  </si>
  <si>
    <t>Misma causa que BUG-09-03 + Venta móvil envía el comprobante</t>
  </si>
  <si>
    <t>Comprobante por WhatsApp (enlace wa.me, un clic) al facturar y en el detalle. Migración 0201</t>
  </si>
  <si>
    <t>La API informa el resultado real. En Azure faltan las variables SMTP (al cierre)</t>
  </si>
  <si>
    <t>Confirmación al cliente y aviso de resolución por correo</t>
  </si>
  <si>
    <t>Indica que el correo no está registrado, como pide la HU</t>
  </si>
  <si>
    <t>Mensaje controlado de espera en lugar de 429</t>
  </si>
  <si>
    <t>Token antifalsificación en la cabecera correcta</t>
  </si>
  <si>
    <t>La app guarda clientes y productos para vender sin conexión</t>
  </si>
  <si>
    <t>La app actualiza el pedido a EnRuta/Fallido. Migración 0220. Gerald debe llamar al mismo SP desde la web</t>
  </si>
  <si>
    <t>Mapa interactivo con la secuencia de visitas</t>
  </si>
  <si>
    <t>Aviso al chofer al asignar la ruta. Migración 0221</t>
  </si>
  <si>
    <t>Parcial: Aviso en el celular al abrir o volver a la app; con la app cerrada requiere Firebase. Migración 0222</t>
  </si>
  <si>
    <t>Aviso al chofer al reasignar la ruta (campana web y app). Migración 0221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</si>
</sst>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6"/>
      <color rgb="FF1F3864"/>
      <name val="Aptos Narrow"/>
      <family val="2"/>
      <scheme val="minor"/>
    </font>
    <font>
      <i/>
      <sz val="11"/>
      <color rgb="FF595959"/>
      <name val="Aptos Narrow"/>
      <family val="2"/>
      <scheme val="minor"/>
    </font>
    <font>
      <b/>
      <sz val="11"/>
      <color rgb="FFFFFFFF"/>
      <name val="Aptos Narrow"/>
      <family val="2"/>
      <scheme val="minor"/>
    </font>
    <font>
      <b/>
      <sz val="13"/>
      <color rgb="FF1F3864"/>
      <name val="Aptos Narrow"/>
      <family val="2"/>
      <scheme val="minor"/>
    </font>
  </fonts>
  <fills count="8">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F2F2F2"/>
        <bgColor indexed="64"/>
      </patternFill>
    </fill>
    <fill>
      <patternFill patternType="solid">
        <fgColor rgb="FFFFC7CE"/>
        <bgColor indexed="64"/>
      </patternFill>
    </fill>
    <fill>
      <patternFill patternType="solid">
        <fgColor rgb="FFFFEB9C"/>
        <bgColor indexed="64"/>
      </patternFill>
    </fill>
    <fill>
      <patternFill patternType="solid">
        <fgColor rgb="FFE2EFDA"/>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42">
    <xf numFmtId="0" fontId="0" fillId="0" borderId="0" xfId="0"/>
    <xf numFmtId="0" fontId="2" fillId="0" borderId="0" xfId="0" applyFont="1"/>
    <xf numFmtId="0" fontId="1" fillId="0" borderId="0" xfId="0" applyFont="1"/>
    <xf numFmtId="0" fontId="0" fillId="3" borderId="1" xfId="0" applyFill="1" applyBorder="1" applyAlignment="1">
      <alignment vertical="top"/>
    </xf>
    <xf numFmtId="0" fontId="0" fillId="3" borderId="1" xfId="0" applyFill="1" applyBorder="1" applyAlignment="1">
      <alignment vertical="top" wrapText="1"/>
    </xf>
    <xf numFmtId="0" fontId="0" fillId="0" borderId="1" xfId="0" applyBorder="1" applyAlignment="1">
      <alignment vertical="top"/>
    </xf>
    <xf numFmtId="0" fontId="1" fillId="4" borderId="1" xfId="0" applyFont="1" applyFill="1" applyBorder="1" applyAlignment="1">
      <alignment vertical="top"/>
    </xf>
    <xf numFmtId="0" fontId="0" fillId="3" borderId="1" xfId="0" applyFill="1" applyBorder="1" applyAlignment="1">
      <alignment horizontal="center" vertical="top"/>
    </xf>
    <xf numFmtId="0" fontId="0" fillId="0" borderId="1" xfId="0" applyBorder="1" applyAlignment="1">
      <alignment horizontal="center" vertical="top"/>
    </xf>
    <xf numFmtId="0" fontId="1" fillId="4" borderId="1" xfId="0" applyFont="1" applyFill="1" applyBorder="1" applyAlignment="1">
      <alignment horizontal="center" vertical="top"/>
    </xf>
    <xf numFmtId="0" fontId="5" fillId="0" borderId="0" xfId="0" applyFont="1"/>
    <xf numFmtId="0" fontId="4" fillId="2" borderId="1" xfId="0" applyFont="1" applyFill="1" applyBorder="1" applyAlignment="1">
      <alignment vertical="center" wrapText="1"/>
    </xf>
    <xf numFmtId="0" fontId="0" fillId="0" borderId="1" xfId="0" applyBorder="1" applyAlignment="1">
      <alignment vertical="top" wrapText="1"/>
    </xf>
    <xf numFmtId="0" fontId="1" fillId="5" borderId="0" xfId="0" applyFont="1" applyFill="1"/>
    <xf numFmtId="0" fontId="1" fillId="6" borderId="0" xfId="0" applyFont="1" applyFill="1"/>
    <xf numFmtId="0" fontId="1" fillId="7" borderId="0" xfId="0" applyFont="1" applyFill="1"/>
    <xf numFmtId="0" fontId="0" fillId="0" borderId="3" xfId="0" applyBorder="1"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5" xfId="0" applyBorder="1" applyAlignment="1">
      <alignment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0" fillId="5" borderId="1" xfId="0" applyFill="1" applyBorder="1" applyAlignment="1">
      <alignment horizontal="center" vertical="top" wrapText="1"/>
    </xf>
    <xf numFmtId="0" fontId="0" fillId="7" borderId="1" xfId="0" applyFill="1" applyBorder="1" applyAlignment="1">
      <alignment horizontal="center" vertical="top" wrapText="1"/>
    </xf>
    <xf numFmtId="0" fontId="0" fillId="7" borderId="2" xfId="0" applyFill="1" applyBorder="1" applyAlignment="1">
      <alignment horizontal="center" vertical="top" wrapText="1"/>
    </xf>
    <xf numFmtId="0" fontId="0" fillId="6" borderId="5" xfId="0" applyFill="1" applyBorder="1" applyAlignment="1">
      <alignment horizontal="center" vertical="top" wrapText="1"/>
    </xf>
    <xf numFmtId="0" fontId="0" fillId="7" borderId="4" xfId="0" applyFill="1" applyBorder="1" applyAlignment="1">
      <alignment horizontal="center" vertical="top" wrapText="1"/>
    </xf>
    <xf numFmtId="0" fontId="0" fillId="5" borderId="4" xfId="0" applyFill="1" applyBorder="1" applyAlignment="1">
      <alignment horizontal="center" vertical="top" wrapText="1"/>
    </xf>
    <xf numFmtId="0" fontId="0" fillId="7" borderId="5" xfId="0" applyFill="1" applyBorder="1" applyAlignment="1">
      <alignment horizontal="center" vertical="top" wrapText="1"/>
    </xf>
    <xf numFmtId="0" fontId="0" fillId="7" borderId="3" xfId="0" applyFill="1" applyBorder="1" applyAlignment="1">
      <alignment horizontal="center" vertical="top" wrapText="1"/>
    </xf>
    <xf numFmtId="0" fontId="0" fillId="5" borderId="5" xfId="0" applyFill="1" applyBorder="1" applyAlignment="1">
      <alignment horizontal="center" vertical="top" wrapText="1"/>
    </xf>
    <xf numFmtId="0" fontId="0" fillId="6" borderId="4" xfId="0" applyFill="1" applyBorder="1" applyAlignment="1">
      <alignment horizontal="center" vertical="top" wrapText="1"/>
    </xf>
    <xf numFmtId="0" fontId="0" fillId="6" borderId="1" xfId="0" applyFill="1" applyBorder="1" applyAlignment="1">
      <alignment horizontal="center" vertical="top" wrapText="1"/>
    </xf>
    <xf numFmtId="0" fontId="0" fillId="6" borderId="2" xfId="0" applyFill="1" applyBorder="1" applyAlignment="1">
      <alignment horizontal="center" vertical="top" wrapText="1"/>
    </xf>
    <xf numFmtId="0" fontId="0" fillId="0" borderId="0" xfId="0" applyAlignment="1">
      <alignment wrapText="1"/>
    </xf>
    <xf numFmtId="0" fontId="0" fillId="0" borderId="0" xfId="0"/>
    <xf numFmtId="0" fontId="3" fillId="0" borderId="0" xfId="0" applyFont="1" applyAlignment="1">
      <alignment wrapText="1"/>
    </xf>
    <xf numFmtId="0" fontId="0" fillId="0" borderId="1" xfId="0" applyBorder="1" applyAlignment="1">
      <alignment vertical="top" wrapText="1"/>
    </xf>
    <xf numFmtId="0" fontId="4" fillId="2" borderId="1" xfId="0" applyFont="1" applyFill="1" applyBorder="1" applyAlignment="1">
      <alignment vertical="center" wrapText="1"/>
    </xf>
  </cellXfs>
  <cellStyles count="1">
    <cellStyle name="Normal" xfId="0" builtinId="0"/>
  </cellStyles>
  <dxfs count="12">
    <dxf>
      <fill>
        <patternFill>
          <bgColor rgb="FFFFC7CE"/>
        </patternFill>
      </fill>
    </dxf>
    <dxf>
      <fill>
        <patternFill>
          <bgColor rgb="FFDDEBF7"/>
        </patternFill>
      </fill>
    </dxf>
    <dxf>
      <fill>
        <patternFill>
          <bgColor rgb="FFE2EFDA"/>
        </patternFill>
      </fill>
    </dxf>
    <dxf>
      <fill>
        <patternFill>
          <bgColor rgb="FFFFC7CE"/>
        </patternFill>
      </fill>
    </dxf>
    <dxf>
      <fill>
        <patternFill>
          <bgColor rgb="FFDDEBF7"/>
        </patternFill>
      </fill>
    </dxf>
    <dxf>
      <fill>
        <patternFill>
          <bgColor rgb="FFE2EFDA"/>
        </patternFill>
      </fill>
    </dxf>
    <dxf>
      <fill>
        <patternFill>
          <bgColor rgb="FFFFC7CE"/>
        </patternFill>
      </fill>
    </dxf>
    <dxf>
      <fill>
        <patternFill>
          <bgColor rgb="FFDDEBF7"/>
        </patternFill>
      </fill>
    </dxf>
    <dxf>
      <fill>
        <patternFill>
          <bgColor rgb="FFE2EFDA"/>
        </patternFill>
      </fill>
    </dxf>
    <dxf>
      <fill>
        <patternFill>
          <bgColor rgb="FFFFC7CE"/>
        </patternFill>
      </fill>
    </dxf>
    <dxf>
      <fill>
        <patternFill>
          <bgColor rgb="FFDDEBF7"/>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87A2-921B-49D7-B1BF-06ADCB92A6D9}">
  <sheetPr>
    <pageSetUpPr fitToPage="1"/>
  </sheetPr>
  <dimension ref="A1:I36"/>
  <sheetViews>
    <sheetView tabSelected="1" workbookViewId="0"/>
  </sheetViews>
  <sheetFormatPr baseColWidth="10" defaultColWidth="11.42578125" defaultRowHeight="15" x14ac:dyDescent="0.25"/>
  <cols>
    <col min="1" max="2" width="14.7109375" customWidth="1"/>
    <col min="3" max="3" width="40.7109375" customWidth="1"/>
    <col min="4" max="7" width="9.7109375" customWidth="1"/>
    <col min="8" max="8" width="11.7109375" customWidth="1"/>
    <col min="9" max="9" width="60.7109375" customWidth="1"/>
  </cols>
  <sheetData>
    <row r="1" spans="1:9" ht="21" x14ac:dyDescent="0.35">
      <c r="A1" s="1" t="s">
        <v>0</v>
      </c>
    </row>
    <row r="2" spans="1:9" ht="30" customHeight="1" x14ac:dyDescent="0.25">
      <c r="A2" s="39" t="s">
        <v>1</v>
      </c>
      <c r="B2" s="39"/>
      <c r="C2" s="39"/>
      <c r="D2" s="39"/>
      <c r="E2" s="39"/>
      <c r="F2" s="39"/>
      <c r="G2" s="39"/>
      <c r="H2" s="39"/>
      <c r="I2" s="39"/>
    </row>
    <row r="4" spans="1:9" ht="30" x14ac:dyDescent="0.25">
      <c r="A4" s="11" t="s">
        <v>2</v>
      </c>
      <c r="B4" s="11" t="s">
        <v>3</v>
      </c>
      <c r="C4" s="11" t="s">
        <v>4</v>
      </c>
      <c r="D4" s="11" t="s">
        <v>5</v>
      </c>
      <c r="E4" s="11" t="s">
        <v>6</v>
      </c>
      <c r="F4" s="11" t="s">
        <v>7</v>
      </c>
      <c r="G4" s="11" t="s">
        <v>8</v>
      </c>
      <c r="H4" s="11" t="s">
        <v>9</v>
      </c>
      <c r="I4" s="11" t="s">
        <v>10</v>
      </c>
    </row>
    <row r="5" spans="1:9" ht="156" customHeight="1" x14ac:dyDescent="0.25">
      <c r="A5" s="3" t="s">
        <v>11</v>
      </c>
      <c r="B5" s="3" t="s">
        <v>12</v>
      </c>
      <c r="C5" s="4" t="s">
        <v>13</v>
      </c>
      <c r="D5" s="7">
        <v>44</v>
      </c>
      <c r="E5" s="7">
        <v>6</v>
      </c>
      <c r="F5" s="7">
        <v>7</v>
      </c>
      <c r="G5" s="7">
        <v>31</v>
      </c>
      <c r="H5" s="7">
        <v>96</v>
      </c>
      <c r="I5" s="4" t="s">
        <v>14</v>
      </c>
    </row>
    <row r="6" spans="1:9" ht="51" customHeight="1" x14ac:dyDescent="0.25">
      <c r="A6" s="5" t="s">
        <v>15</v>
      </c>
      <c r="B6" s="5" t="s">
        <v>16</v>
      </c>
      <c r="C6" s="12" t="s">
        <v>17</v>
      </c>
      <c r="D6" s="8">
        <v>16</v>
      </c>
      <c r="E6" s="8">
        <v>1</v>
      </c>
      <c r="F6" s="8">
        <v>8</v>
      </c>
      <c r="G6" s="8">
        <v>7</v>
      </c>
      <c r="H6" s="8">
        <v>36</v>
      </c>
      <c r="I6" s="12" t="s">
        <v>18</v>
      </c>
    </row>
    <row r="7" spans="1:9" ht="66" customHeight="1" x14ac:dyDescent="0.25">
      <c r="A7" s="5" t="s">
        <v>19</v>
      </c>
      <c r="B7" s="5" t="s">
        <v>20</v>
      </c>
      <c r="C7" s="12" t="s">
        <v>21</v>
      </c>
      <c r="D7" s="8">
        <v>14</v>
      </c>
      <c r="E7" s="8">
        <v>0</v>
      </c>
      <c r="F7" s="8">
        <v>3</v>
      </c>
      <c r="G7" s="8">
        <v>11</v>
      </c>
      <c r="H7" s="8">
        <v>25</v>
      </c>
      <c r="I7" s="12" t="s">
        <v>22</v>
      </c>
    </row>
    <row r="8" spans="1:9" ht="66" customHeight="1" x14ac:dyDescent="0.25">
      <c r="A8" s="5" t="s">
        <v>23</v>
      </c>
      <c r="B8" s="5" t="s">
        <v>24</v>
      </c>
      <c r="C8" s="12" t="s">
        <v>25</v>
      </c>
      <c r="D8" s="8">
        <v>17</v>
      </c>
      <c r="E8" s="8">
        <v>0</v>
      </c>
      <c r="F8" s="8">
        <v>1</v>
      </c>
      <c r="G8" s="8">
        <v>16</v>
      </c>
      <c r="H8" s="8">
        <v>26</v>
      </c>
      <c r="I8" s="12" t="s">
        <v>26</v>
      </c>
    </row>
    <row r="9" spans="1:9" x14ac:dyDescent="0.25">
      <c r="A9" s="6" t="s">
        <v>27</v>
      </c>
      <c r="B9" s="6"/>
      <c r="C9" s="6"/>
      <c r="D9" s="9">
        <f>SUM(D5:D8)</f>
        <v>91</v>
      </c>
      <c r="E9" s="9">
        <f>SUM(E5:E8)</f>
        <v>7</v>
      </c>
      <c r="F9" s="9">
        <f>SUM(F5:F8)</f>
        <v>19</v>
      </c>
      <c r="G9" s="9">
        <f>SUM(G5:G8)</f>
        <v>65</v>
      </c>
      <c r="H9" s="9">
        <f>SUM(H5:H8)</f>
        <v>183</v>
      </c>
      <c r="I9" s="6"/>
    </row>
    <row r="11" spans="1:9" ht="17.25" x14ac:dyDescent="0.3">
      <c r="A11" s="10" t="s">
        <v>28</v>
      </c>
    </row>
    <row r="12" spans="1:9" ht="30" customHeight="1" x14ac:dyDescent="0.25">
      <c r="A12" s="37" t="s">
        <v>29</v>
      </c>
      <c r="B12" s="37"/>
      <c r="C12" s="37"/>
      <c r="D12" s="37"/>
      <c r="E12" s="37"/>
      <c r="F12" s="37"/>
      <c r="G12" s="37"/>
      <c r="H12" s="37"/>
      <c r="I12" s="37"/>
    </row>
    <row r="13" spans="1:9" ht="30" customHeight="1" x14ac:dyDescent="0.25">
      <c r="A13" s="37" t="s">
        <v>30</v>
      </c>
      <c r="B13" s="37"/>
      <c r="C13" s="37"/>
      <c r="D13" s="37"/>
      <c r="E13" s="37"/>
      <c r="F13" s="37"/>
      <c r="G13" s="37"/>
      <c r="H13" s="37"/>
      <c r="I13" s="37"/>
    </row>
    <row r="14" spans="1:9" ht="30" customHeight="1" x14ac:dyDescent="0.25">
      <c r="A14" s="37" t="s">
        <v>31</v>
      </c>
      <c r="B14" s="37"/>
      <c r="C14" s="37"/>
      <c r="D14" s="37"/>
      <c r="E14" s="37"/>
      <c r="F14" s="37"/>
      <c r="G14" s="37"/>
      <c r="H14" s="37"/>
      <c r="I14" s="37"/>
    </row>
    <row r="15" spans="1:9" ht="30" customHeight="1" x14ac:dyDescent="0.25">
      <c r="A15" s="37" t="s">
        <v>32</v>
      </c>
      <c r="B15" s="37"/>
      <c r="C15" s="37"/>
      <c r="D15" s="37"/>
      <c r="E15" s="37"/>
      <c r="F15" s="37"/>
      <c r="G15" s="37"/>
      <c r="H15" s="37"/>
      <c r="I15" s="37"/>
    </row>
    <row r="16" spans="1:9" ht="30" customHeight="1" x14ac:dyDescent="0.25">
      <c r="A16" s="37" t="s">
        <v>33</v>
      </c>
      <c r="B16" s="37"/>
      <c r="C16" s="37"/>
      <c r="D16" s="37"/>
      <c r="E16" s="37"/>
      <c r="F16" s="37"/>
      <c r="G16" s="37"/>
      <c r="H16" s="37"/>
      <c r="I16" s="37"/>
    </row>
    <row r="17" spans="1:9" ht="30" customHeight="1" x14ac:dyDescent="0.25">
      <c r="A17" s="37" t="s">
        <v>34</v>
      </c>
      <c r="B17" s="37"/>
      <c r="C17" s="37"/>
      <c r="D17" s="37"/>
      <c r="E17" s="37"/>
      <c r="F17" s="37"/>
      <c r="G17" s="37"/>
      <c r="H17" s="37"/>
      <c r="I17" s="37"/>
    </row>
    <row r="18" spans="1:9" ht="30" customHeight="1" x14ac:dyDescent="0.25">
      <c r="A18" s="37" t="s">
        <v>35</v>
      </c>
      <c r="B18" s="37"/>
      <c r="C18" s="37"/>
      <c r="D18" s="37"/>
      <c r="E18" s="37"/>
      <c r="F18" s="37"/>
      <c r="G18" s="37"/>
      <c r="H18" s="37"/>
      <c r="I18" s="37"/>
    </row>
    <row r="20" spans="1:9" ht="17.25" x14ac:dyDescent="0.3">
      <c r="A20" s="10" t="s">
        <v>36</v>
      </c>
    </row>
    <row r="21" spans="1:9" x14ac:dyDescent="0.25">
      <c r="A21" s="11" t="s">
        <v>37</v>
      </c>
      <c r="B21" s="11" t="s">
        <v>38</v>
      </c>
      <c r="C21" s="41" t="s">
        <v>39</v>
      </c>
      <c r="D21" s="41"/>
      <c r="E21" s="41"/>
      <c r="F21" s="41"/>
      <c r="G21" s="41"/>
      <c r="H21" s="41"/>
      <c r="I21" s="41"/>
    </row>
    <row r="22" spans="1:9" ht="32.1" customHeight="1" x14ac:dyDescent="0.25">
      <c r="A22" s="5" t="s">
        <v>40</v>
      </c>
      <c r="B22" s="5" t="s">
        <v>41</v>
      </c>
      <c r="C22" s="40" t="s">
        <v>42</v>
      </c>
      <c r="D22" s="40"/>
      <c r="E22" s="40"/>
      <c r="F22" s="40"/>
      <c r="G22" s="40"/>
      <c r="H22" s="40"/>
      <c r="I22" s="40"/>
    </row>
    <row r="23" spans="1:9" ht="32.1" customHeight="1" x14ac:dyDescent="0.25">
      <c r="A23" s="5" t="s">
        <v>40</v>
      </c>
      <c r="B23" s="5" t="s">
        <v>43</v>
      </c>
      <c r="C23" s="40" t="s">
        <v>44</v>
      </c>
      <c r="D23" s="40"/>
      <c r="E23" s="40"/>
      <c r="F23" s="40"/>
      <c r="G23" s="40"/>
      <c r="H23" s="40"/>
      <c r="I23" s="40"/>
    </row>
    <row r="24" spans="1:9" ht="32.1" customHeight="1" x14ac:dyDescent="0.25">
      <c r="A24" s="5" t="s">
        <v>45</v>
      </c>
      <c r="B24" s="5" t="s">
        <v>46</v>
      </c>
      <c r="C24" s="40" t="s">
        <v>47</v>
      </c>
      <c r="D24" s="40"/>
      <c r="E24" s="40"/>
      <c r="F24" s="40"/>
      <c r="G24" s="40"/>
      <c r="H24" s="40"/>
      <c r="I24" s="40"/>
    </row>
    <row r="25" spans="1:9" ht="32.1" customHeight="1" x14ac:dyDescent="0.25">
      <c r="A25" s="5" t="s">
        <v>45</v>
      </c>
      <c r="B25" s="5" t="s">
        <v>48</v>
      </c>
      <c r="C25" s="40" t="s">
        <v>49</v>
      </c>
      <c r="D25" s="40"/>
      <c r="E25" s="40"/>
      <c r="F25" s="40"/>
      <c r="G25" s="40"/>
      <c r="H25" s="40"/>
      <c r="I25" s="40"/>
    </row>
    <row r="26" spans="1:9" ht="32.1" customHeight="1" x14ac:dyDescent="0.25">
      <c r="A26" s="5" t="s">
        <v>50</v>
      </c>
      <c r="B26" s="5" t="s">
        <v>51</v>
      </c>
      <c r="C26" s="40" t="s">
        <v>52</v>
      </c>
      <c r="D26" s="40"/>
      <c r="E26" s="40"/>
      <c r="F26" s="40"/>
      <c r="G26" s="40"/>
      <c r="H26" s="40"/>
      <c r="I26" s="40"/>
    </row>
    <row r="28" spans="1:9" ht="17.25" x14ac:dyDescent="0.3">
      <c r="A28" s="10" t="s">
        <v>53</v>
      </c>
    </row>
    <row r="29" spans="1:9" x14ac:dyDescent="0.25">
      <c r="A29" s="13" t="s">
        <v>54</v>
      </c>
      <c r="B29" s="38" t="s">
        <v>55</v>
      </c>
      <c r="C29" s="38"/>
      <c r="D29" s="38"/>
      <c r="E29" s="38"/>
      <c r="F29" s="38"/>
      <c r="G29" s="38"/>
      <c r="H29" s="38"/>
      <c r="I29" s="38"/>
    </row>
    <row r="30" spans="1:9" x14ac:dyDescent="0.25">
      <c r="A30" s="14" t="s">
        <v>56</v>
      </c>
      <c r="B30" s="38" t="s">
        <v>57</v>
      </c>
      <c r="C30" s="38"/>
      <c r="D30" s="38"/>
      <c r="E30" s="38"/>
      <c r="F30" s="38"/>
      <c r="G30" s="38"/>
      <c r="H30" s="38"/>
      <c r="I30" s="38"/>
    </row>
    <row r="31" spans="1:9" x14ac:dyDescent="0.25">
      <c r="A31" s="15" t="s">
        <v>58</v>
      </c>
      <c r="B31" s="38" t="s">
        <v>59</v>
      </c>
      <c r="C31" s="38"/>
      <c r="D31" s="38"/>
      <c r="E31" s="38"/>
      <c r="F31" s="38"/>
      <c r="G31" s="38"/>
      <c r="H31" s="38"/>
      <c r="I31" s="38"/>
    </row>
    <row r="32" spans="1:9" x14ac:dyDescent="0.25">
      <c r="A32" s="2" t="s">
        <v>60</v>
      </c>
      <c r="B32" s="38" t="s">
        <v>61</v>
      </c>
      <c r="C32" s="38"/>
      <c r="D32" s="38"/>
      <c r="E32" s="38"/>
      <c r="F32" s="38"/>
      <c r="G32" s="38"/>
      <c r="H32" s="38"/>
      <c r="I32" s="38"/>
    </row>
    <row r="33" spans="1:9" x14ac:dyDescent="0.25">
      <c r="A33" s="2" t="s">
        <v>62</v>
      </c>
      <c r="B33" s="38" t="s">
        <v>63</v>
      </c>
      <c r="C33" s="38"/>
      <c r="D33" s="38"/>
      <c r="E33" s="38"/>
      <c r="F33" s="38"/>
      <c r="G33" s="38"/>
      <c r="H33" s="38"/>
      <c r="I33" s="38"/>
    </row>
    <row r="34" spans="1:9" x14ac:dyDescent="0.25">
      <c r="A34" s="2" t="s">
        <v>64</v>
      </c>
      <c r="B34" s="38" t="s">
        <v>65</v>
      </c>
      <c r="C34" s="38"/>
      <c r="D34" s="38"/>
      <c r="E34" s="38"/>
      <c r="F34" s="38"/>
      <c r="G34" s="38"/>
      <c r="H34" s="38"/>
      <c r="I34" s="38"/>
    </row>
    <row r="35" spans="1:9" x14ac:dyDescent="0.25">
      <c r="A35" s="2" t="s">
        <v>9</v>
      </c>
      <c r="B35" s="38" t="s">
        <v>66</v>
      </c>
      <c r="C35" s="38"/>
      <c r="D35" s="38"/>
      <c r="E35" s="38"/>
      <c r="F35" s="38"/>
      <c r="G35" s="38"/>
      <c r="H35" s="38"/>
      <c r="I35" s="38"/>
    </row>
    <row r="36" spans="1:9" x14ac:dyDescent="0.25">
      <c r="A36" s="2" t="s">
        <v>67</v>
      </c>
      <c r="B36" s="38" t="s">
        <v>68</v>
      </c>
      <c r="C36" s="38"/>
      <c r="D36" s="38"/>
      <c r="E36" s="38"/>
      <c r="F36" s="38"/>
      <c r="G36" s="38"/>
      <c r="H36" s="38"/>
      <c r="I36" s="38"/>
    </row>
  </sheetData>
  <mergeCells count="22">
    <mergeCell ref="B34:I34"/>
    <mergeCell ref="B35:I35"/>
    <mergeCell ref="B36:I36"/>
    <mergeCell ref="A2:I2"/>
    <mergeCell ref="C26:I26"/>
    <mergeCell ref="B29:I29"/>
    <mergeCell ref="B30:I30"/>
    <mergeCell ref="B31:I31"/>
    <mergeCell ref="B32:I32"/>
    <mergeCell ref="B33:I33"/>
    <mergeCell ref="A18:I18"/>
    <mergeCell ref="C21:I21"/>
    <mergeCell ref="C22:I22"/>
    <mergeCell ref="C23:I23"/>
    <mergeCell ref="C24:I24"/>
    <mergeCell ref="C25:I25"/>
    <mergeCell ref="A17:I17"/>
    <mergeCell ref="A12:I12"/>
    <mergeCell ref="A13:I13"/>
    <mergeCell ref="A14:I14"/>
    <mergeCell ref="A15:I15"/>
    <mergeCell ref="A16:I16"/>
  </mergeCells>
  <pageMargins left="0.7" right="0.7" top="0.75" bottom="0.75" header="0.3" footer="0.3"/>
  <pageSetup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136B-10DD-4EB0-8708-14FFBEF4F3A6}">
  <sheetPr>
    <pageSetUpPr fitToPage="1"/>
  </sheetPr>
  <dimension ref="A1:I50"/>
  <sheetViews>
    <sheetView workbookViewId="0">
      <pane ySplit="4" topLeftCell="A5" activePane="bottomLeft" state="frozenSplit"/>
      <selection pane="bottomLeft"/>
    </sheetView>
  </sheetViews>
  <sheetFormatPr baseColWidth="10" defaultColWidth="11.42578125" defaultRowHeight="15" x14ac:dyDescent="0.25"/>
  <cols>
    <col min="1" max="1" width="5.7109375" customWidth="1"/>
    <col min="2" max="2" width="24.7109375" customWidth="1"/>
    <col min="3" max="3" width="13.7109375" customWidth="1"/>
    <col min="4" max="4" width="45.7109375" customWidth="1"/>
    <col min="5" max="5" width="55.7109375" customWidth="1"/>
    <col min="6" max="7" width="10.7109375" customWidth="1"/>
    <col min="8" max="8" width="12.7109375" customWidth="1"/>
    <col min="9" max="9" width="30.7109375" customWidth="1"/>
  </cols>
  <sheetData>
    <row r="1" spans="1:9" ht="21" x14ac:dyDescent="0.35">
      <c r="A1" s="1" t="s">
        <v>69</v>
      </c>
    </row>
    <row r="2" spans="1:9" ht="30" customHeight="1" x14ac:dyDescent="0.25">
      <c r="A2" s="39" t="s">
        <v>70</v>
      </c>
      <c r="B2" s="39"/>
      <c r="C2" s="39"/>
      <c r="D2" s="39"/>
      <c r="E2" s="39"/>
      <c r="F2" s="39"/>
      <c r="G2" s="39"/>
      <c r="H2" s="39"/>
      <c r="I2" s="39"/>
    </row>
    <row r="4" spans="1:9" ht="32.1" customHeight="1" x14ac:dyDescent="0.25">
      <c r="A4" s="11" t="s">
        <v>71</v>
      </c>
      <c r="B4" s="11" t="s">
        <v>72</v>
      </c>
      <c r="C4" s="11" t="s">
        <v>73</v>
      </c>
      <c r="D4" s="11" t="s">
        <v>74</v>
      </c>
      <c r="E4" s="11" t="s">
        <v>75</v>
      </c>
      <c r="F4" s="11" t="s">
        <v>76</v>
      </c>
      <c r="G4" s="11" t="s">
        <v>77</v>
      </c>
      <c r="H4" s="11" t="s">
        <v>78</v>
      </c>
      <c r="I4" s="11" t="s">
        <v>79</v>
      </c>
    </row>
    <row r="5" spans="1:9" ht="51" customHeight="1" x14ac:dyDescent="0.25">
      <c r="A5" s="20">
        <v>1</v>
      </c>
      <c r="B5" s="12" t="s">
        <v>80</v>
      </c>
      <c r="C5" s="20" t="s">
        <v>81</v>
      </c>
      <c r="D5" s="12" t="s">
        <v>82</v>
      </c>
      <c r="E5" s="12" t="s">
        <v>83</v>
      </c>
      <c r="F5" s="25" t="s">
        <v>84</v>
      </c>
      <c r="G5" s="20" t="s">
        <v>85</v>
      </c>
      <c r="H5" s="20" t="s">
        <v>384</v>
      </c>
      <c r="I5" s="12" t="s">
        <v>385</v>
      </c>
    </row>
    <row r="6" spans="1:9" ht="66" customHeight="1" x14ac:dyDescent="0.25">
      <c r="A6" s="20">
        <v>2</v>
      </c>
      <c r="B6" s="12" t="s">
        <v>80</v>
      </c>
      <c r="C6" s="20" t="s">
        <v>87</v>
      </c>
      <c r="D6" s="12" t="s">
        <v>88</v>
      </c>
      <c r="E6" s="12" t="s">
        <v>89</v>
      </c>
      <c r="F6" s="26" t="s">
        <v>90</v>
      </c>
      <c r="G6" s="20" t="s">
        <v>85</v>
      </c>
      <c r="H6" s="20" t="s">
        <v>384</v>
      </c>
      <c r="I6" s="12" t="s">
        <v>386</v>
      </c>
    </row>
    <row r="7" spans="1:9" ht="51" customHeight="1" x14ac:dyDescent="0.25">
      <c r="A7" s="20">
        <v>3</v>
      </c>
      <c r="B7" s="12" t="s">
        <v>80</v>
      </c>
      <c r="C7" s="20" t="s">
        <v>91</v>
      </c>
      <c r="D7" s="12" t="s">
        <v>92</v>
      </c>
      <c r="E7" s="12" t="s">
        <v>93</v>
      </c>
      <c r="F7" s="26" t="s">
        <v>90</v>
      </c>
      <c r="G7" s="20" t="s">
        <v>90</v>
      </c>
      <c r="H7" s="20" t="s">
        <v>384</v>
      </c>
      <c r="I7" s="12" t="s">
        <v>387</v>
      </c>
    </row>
    <row r="8" spans="1:9" ht="36" customHeight="1" x14ac:dyDescent="0.25">
      <c r="A8" s="20">
        <v>4</v>
      </c>
      <c r="B8" s="12" t="s">
        <v>80</v>
      </c>
      <c r="C8" s="20" t="s">
        <v>94</v>
      </c>
      <c r="D8" s="12" t="s">
        <v>95</v>
      </c>
      <c r="E8" s="12" t="s">
        <v>96</v>
      </c>
      <c r="F8" s="26" t="s">
        <v>90</v>
      </c>
      <c r="G8" s="20" t="s">
        <v>97</v>
      </c>
      <c r="H8" s="20" t="s">
        <v>384</v>
      </c>
      <c r="I8" s="12" t="s">
        <v>388</v>
      </c>
    </row>
    <row r="9" spans="1:9" ht="66" customHeight="1" thickBot="1" x14ac:dyDescent="0.3">
      <c r="A9" s="21">
        <v>5</v>
      </c>
      <c r="B9" s="18" t="s">
        <v>80</v>
      </c>
      <c r="C9" s="21" t="s">
        <v>98</v>
      </c>
      <c r="D9" s="18" t="s">
        <v>99</v>
      </c>
      <c r="E9" s="18" t="s">
        <v>100</v>
      </c>
      <c r="F9" s="27" t="s">
        <v>90</v>
      </c>
      <c r="G9" s="21" t="s">
        <v>90</v>
      </c>
      <c r="H9" s="21" t="s">
        <v>384</v>
      </c>
      <c r="I9" s="18" t="s">
        <v>389</v>
      </c>
    </row>
    <row r="10" spans="1:9" ht="51" customHeight="1" x14ac:dyDescent="0.25">
      <c r="A10" s="22">
        <v>6</v>
      </c>
      <c r="B10" s="19" t="s">
        <v>101</v>
      </c>
      <c r="C10" s="22" t="s">
        <v>102</v>
      </c>
      <c r="D10" s="19" t="s">
        <v>103</v>
      </c>
      <c r="E10" s="19" t="s">
        <v>104</v>
      </c>
      <c r="F10" s="28" t="s">
        <v>85</v>
      </c>
      <c r="G10" s="22" t="s">
        <v>90</v>
      </c>
      <c r="H10" s="22" t="s">
        <v>384</v>
      </c>
      <c r="I10" s="19" t="s">
        <v>390</v>
      </c>
    </row>
    <row r="11" spans="1:9" ht="66" customHeight="1" x14ac:dyDescent="0.25">
      <c r="A11" s="23">
        <v>7</v>
      </c>
      <c r="B11" s="17" t="s">
        <v>101</v>
      </c>
      <c r="C11" s="23" t="s">
        <v>105</v>
      </c>
      <c r="D11" s="17" t="s">
        <v>106</v>
      </c>
      <c r="E11" s="17" t="s">
        <v>107</v>
      </c>
      <c r="F11" s="29" t="s">
        <v>90</v>
      </c>
      <c r="G11" s="23" t="s">
        <v>90</v>
      </c>
      <c r="H11" s="23" t="s">
        <v>384</v>
      </c>
      <c r="I11" s="17" t="s">
        <v>391</v>
      </c>
    </row>
    <row r="12" spans="1:9" ht="51" customHeight="1" thickBot="1" x14ac:dyDescent="0.3">
      <c r="A12" s="21">
        <v>8</v>
      </c>
      <c r="B12" s="18" t="s">
        <v>101</v>
      </c>
      <c r="C12" s="21" t="s">
        <v>108</v>
      </c>
      <c r="D12" s="18" t="s">
        <v>109</v>
      </c>
      <c r="E12" s="18" t="s">
        <v>110</v>
      </c>
      <c r="F12" s="27" t="s">
        <v>90</v>
      </c>
      <c r="G12" s="21" t="s">
        <v>97</v>
      </c>
      <c r="H12" s="21" t="s">
        <v>384</v>
      </c>
      <c r="I12" s="18" t="s">
        <v>392</v>
      </c>
    </row>
    <row r="13" spans="1:9" ht="51" customHeight="1" x14ac:dyDescent="0.25">
      <c r="A13" s="22">
        <v>9</v>
      </c>
      <c r="B13" s="19" t="s">
        <v>111</v>
      </c>
      <c r="C13" s="22" t="s">
        <v>112</v>
      </c>
      <c r="D13" s="19" t="s">
        <v>113</v>
      </c>
      <c r="E13" s="19" t="s">
        <v>114</v>
      </c>
      <c r="F13" s="28" t="s">
        <v>85</v>
      </c>
      <c r="G13" s="22" t="s">
        <v>85</v>
      </c>
      <c r="H13" s="22" t="s">
        <v>86</v>
      </c>
      <c r="I13" s="19"/>
    </row>
    <row r="14" spans="1:9" ht="81" customHeight="1" x14ac:dyDescent="0.25">
      <c r="A14" s="23">
        <v>10</v>
      </c>
      <c r="B14" s="17" t="s">
        <v>111</v>
      </c>
      <c r="C14" s="23" t="s">
        <v>115</v>
      </c>
      <c r="D14" s="17" t="s">
        <v>116</v>
      </c>
      <c r="E14" s="17" t="s">
        <v>117</v>
      </c>
      <c r="F14" s="30" t="s">
        <v>84</v>
      </c>
      <c r="G14" s="23" t="s">
        <v>85</v>
      </c>
      <c r="H14" s="23" t="s">
        <v>384</v>
      </c>
      <c r="I14" s="17" t="s">
        <v>393</v>
      </c>
    </row>
    <row r="15" spans="1:9" ht="51" customHeight="1" x14ac:dyDescent="0.25">
      <c r="A15" s="20">
        <v>11</v>
      </c>
      <c r="B15" s="12" t="s">
        <v>111</v>
      </c>
      <c r="C15" s="20" t="s">
        <v>118</v>
      </c>
      <c r="D15" s="12" t="s">
        <v>119</v>
      </c>
      <c r="E15" s="12" t="s">
        <v>120</v>
      </c>
      <c r="F15" s="26" t="s">
        <v>90</v>
      </c>
      <c r="G15" s="20" t="s">
        <v>90</v>
      </c>
      <c r="H15" s="20" t="s">
        <v>86</v>
      </c>
      <c r="I15" s="12"/>
    </row>
    <row r="16" spans="1:9" ht="51" customHeight="1" thickBot="1" x14ac:dyDescent="0.3">
      <c r="A16" s="21">
        <v>12</v>
      </c>
      <c r="B16" s="18" t="s">
        <v>111</v>
      </c>
      <c r="C16" s="21" t="s">
        <v>121</v>
      </c>
      <c r="D16" s="18" t="s">
        <v>122</v>
      </c>
      <c r="E16" s="18" t="s">
        <v>123</v>
      </c>
      <c r="F16" s="27" t="s">
        <v>90</v>
      </c>
      <c r="G16" s="21" t="s">
        <v>90</v>
      </c>
      <c r="H16" s="21" t="s">
        <v>86</v>
      </c>
      <c r="I16" s="18"/>
    </row>
    <row r="17" spans="1:9" ht="66" customHeight="1" x14ac:dyDescent="0.25">
      <c r="A17" s="22">
        <v>13</v>
      </c>
      <c r="B17" s="19" t="s">
        <v>124</v>
      </c>
      <c r="C17" s="22" t="s">
        <v>125</v>
      </c>
      <c r="D17" s="19" t="s">
        <v>126</v>
      </c>
      <c r="E17" s="19" t="s">
        <v>127</v>
      </c>
      <c r="F17" s="31" t="s">
        <v>90</v>
      </c>
      <c r="G17" s="22" t="s">
        <v>97</v>
      </c>
      <c r="H17" s="22" t="s">
        <v>86</v>
      </c>
      <c r="I17" s="19"/>
    </row>
    <row r="18" spans="1:9" ht="51" customHeight="1" thickBot="1" x14ac:dyDescent="0.3">
      <c r="A18" s="24">
        <v>14</v>
      </c>
      <c r="B18" s="16" t="s">
        <v>124</v>
      </c>
      <c r="C18" s="24" t="s">
        <v>128</v>
      </c>
      <c r="D18" s="16" t="s">
        <v>129</v>
      </c>
      <c r="E18" s="16" t="s">
        <v>130</v>
      </c>
      <c r="F18" s="32" t="s">
        <v>90</v>
      </c>
      <c r="G18" s="24" t="s">
        <v>90</v>
      </c>
      <c r="H18" s="24" t="s">
        <v>86</v>
      </c>
      <c r="I18" s="16"/>
    </row>
    <row r="19" spans="1:9" ht="51" customHeight="1" x14ac:dyDescent="0.25">
      <c r="A19" s="22">
        <v>15</v>
      </c>
      <c r="B19" s="19" t="s">
        <v>131</v>
      </c>
      <c r="C19" s="22" t="s">
        <v>132</v>
      </c>
      <c r="D19" s="19" t="s">
        <v>133</v>
      </c>
      <c r="E19" s="19" t="s">
        <v>134</v>
      </c>
      <c r="F19" s="28" t="s">
        <v>85</v>
      </c>
      <c r="G19" s="22" t="s">
        <v>85</v>
      </c>
      <c r="H19" s="22" t="s">
        <v>86</v>
      </c>
      <c r="I19" s="19"/>
    </row>
    <row r="20" spans="1:9" ht="36" customHeight="1" x14ac:dyDescent="0.25">
      <c r="A20" s="23">
        <v>16</v>
      </c>
      <c r="B20" s="17" t="s">
        <v>131</v>
      </c>
      <c r="C20" s="23" t="s">
        <v>135</v>
      </c>
      <c r="D20" s="17" t="s">
        <v>136</v>
      </c>
      <c r="E20" s="17" t="s">
        <v>137</v>
      </c>
      <c r="F20" s="29" t="s">
        <v>90</v>
      </c>
      <c r="G20" s="23" t="s">
        <v>90</v>
      </c>
      <c r="H20" s="23" t="s">
        <v>86</v>
      </c>
      <c r="I20" s="17"/>
    </row>
    <row r="21" spans="1:9" ht="36" customHeight="1" thickBot="1" x14ac:dyDescent="0.3">
      <c r="A21" s="21">
        <v>17</v>
      </c>
      <c r="B21" s="18" t="s">
        <v>131</v>
      </c>
      <c r="C21" s="21" t="s">
        <v>138</v>
      </c>
      <c r="D21" s="18" t="s">
        <v>139</v>
      </c>
      <c r="E21" s="18" t="s">
        <v>140</v>
      </c>
      <c r="F21" s="27" t="s">
        <v>90</v>
      </c>
      <c r="G21" s="21" t="s">
        <v>90</v>
      </c>
      <c r="H21" s="21" t="s">
        <v>86</v>
      </c>
      <c r="I21" s="18"/>
    </row>
    <row r="22" spans="1:9" ht="51" customHeight="1" x14ac:dyDescent="0.25">
      <c r="A22" s="22">
        <v>18</v>
      </c>
      <c r="B22" s="19" t="s">
        <v>141</v>
      </c>
      <c r="C22" s="22" t="s">
        <v>142</v>
      </c>
      <c r="D22" s="19" t="s">
        <v>143</v>
      </c>
      <c r="E22" s="19" t="s">
        <v>144</v>
      </c>
      <c r="F22" s="31" t="s">
        <v>90</v>
      </c>
      <c r="G22" s="22" t="s">
        <v>85</v>
      </c>
      <c r="H22" s="22" t="s">
        <v>86</v>
      </c>
      <c r="I22" s="19"/>
    </row>
    <row r="23" spans="1:9" ht="51" customHeight="1" x14ac:dyDescent="0.25">
      <c r="A23" s="23">
        <v>19</v>
      </c>
      <c r="B23" s="17" t="s">
        <v>141</v>
      </c>
      <c r="C23" s="23" t="s">
        <v>145</v>
      </c>
      <c r="D23" s="17" t="s">
        <v>146</v>
      </c>
      <c r="E23" s="17" t="s">
        <v>147</v>
      </c>
      <c r="F23" s="29" t="s">
        <v>90</v>
      </c>
      <c r="G23" s="23" t="s">
        <v>90</v>
      </c>
      <c r="H23" s="23" t="s">
        <v>86</v>
      </c>
      <c r="I23" s="17"/>
    </row>
    <row r="24" spans="1:9" ht="51" customHeight="1" x14ac:dyDescent="0.25">
      <c r="A24" s="20">
        <v>20</v>
      </c>
      <c r="B24" s="12" t="s">
        <v>141</v>
      </c>
      <c r="C24" s="20" t="s">
        <v>148</v>
      </c>
      <c r="D24" s="12" t="s">
        <v>149</v>
      </c>
      <c r="E24" s="12" t="s">
        <v>150</v>
      </c>
      <c r="F24" s="26" t="s">
        <v>90</v>
      </c>
      <c r="G24" s="20" t="s">
        <v>90</v>
      </c>
      <c r="H24" s="20" t="s">
        <v>86</v>
      </c>
      <c r="I24" s="12"/>
    </row>
    <row r="25" spans="1:9" ht="51" customHeight="1" x14ac:dyDescent="0.25">
      <c r="A25" s="20">
        <v>21</v>
      </c>
      <c r="B25" s="12" t="s">
        <v>141</v>
      </c>
      <c r="C25" s="20" t="s">
        <v>151</v>
      </c>
      <c r="D25" s="12" t="s">
        <v>152</v>
      </c>
      <c r="E25" s="12" t="s">
        <v>153</v>
      </c>
      <c r="F25" s="26" t="s">
        <v>90</v>
      </c>
      <c r="G25" s="20" t="s">
        <v>90</v>
      </c>
      <c r="H25" s="20" t="s">
        <v>86</v>
      </c>
      <c r="I25" s="12"/>
    </row>
    <row r="26" spans="1:9" ht="51" customHeight="1" x14ac:dyDescent="0.25">
      <c r="A26" s="20">
        <v>22</v>
      </c>
      <c r="B26" s="12" t="s">
        <v>141</v>
      </c>
      <c r="C26" s="20" t="s">
        <v>154</v>
      </c>
      <c r="D26" s="12" t="s">
        <v>155</v>
      </c>
      <c r="E26" s="12" t="s">
        <v>156</v>
      </c>
      <c r="F26" s="26" t="s">
        <v>90</v>
      </c>
      <c r="G26" s="20" t="s">
        <v>97</v>
      </c>
      <c r="H26" s="20" t="s">
        <v>86</v>
      </c>
      <c r="I26" s="12"/>
    </row>
    <row r="27" spans="1:9" ht="51" customHeight="1" thickBot="1" x14ac:dyDescent="0.3">
      <c r="A27" s="21">
        <v>23</v>
      </c>
      <c r="B27" s="18" t="s">
        <v>141</v>
      </c>
      <c r="C27" s="21" t="s">
        <v>157</v>
      </c>
      <c r="D27" s="18" t="s">
        <v>158</v>
      </c>
      <c r="E27" s="18" t="s">
        <v>159</v>
      </c>
      <c r="F27" s="27" t="s">
        <v>90</v>
      </c>
      <c r="G27" s="21" t="s">
        <v>97</v>
      </c>
      <c r="H27" s="21" t="s">
        <v>86</v>
      </c>
      <c r="I27" s="18"/>
    </row>
    <row r="28" spans="1:9" ht="66" customHeight="1" x14ac:dyDescent="0.25">
      <c r="A28" s="22">
        <v>24</v>
      </c>
      <c r="B28" s="19" t="s">
        <v>160</v>
      </c>
      <c r="C28" s="22" t="s">
        <v>161</v>
      </c>
      <c r="D28" s="19" t="s">
        <v>162</v>
      </c>
      <c r="E28" s="19" t="s">
        <v>163</v>
      </c>
      <c r="F28" s="33" t="s">
        <v>84</v>
      </c>
      <c r="G28" s="22" t="s">
        <v>85</v>
      </c>
      <c r="H28" s="22" t="s">
        <v>384</v>
      </c>
      <c r="I28" s="19" t="s">
        <v>394</v>
      </c>
    </row>
    <row r="29" spans="1:9" ht="66" customHeight="1" x14ac:dyDescent="0.25">
      <c r="A29" s="23">
        <v>25</v>
      </c>
      <c r="B29" s="17" t="s">
        <v>160</v>
      </c>
      <c r="C29" s="23" t="s">
        <v>164</v>
      </c>
      <c r="D29" s="17" t="s">
        <v>165</v>
      </c>
      <c r="E29" s="17" t="s">
        <v>166</v>
      </c>
      <c r="F29" s="30" t="s">
        <v>84</v>
      </c>
      <c r="G29" s="23" t="s">
        <v>85</v>
      </c>
      <c r="H29" s="23" t="s">
        <v>384</v>
      </c>
      <c r="I29" s="17" t="s">
        <v>395</v>
      </c>
    </row>
    <row r="30" spans="1:9" ht="66" customHeight="1" x14ac:dyDescent="0.25">
      <c r="A30" s="20">
        <v>26</v>
      </c>
      <c r="B30" s="12" t="s">
        <v>160</v>
      </c>
      <c r="C30" s="20" t="s">
        <v>167</v>
      </c>
      <c r="D30" s="12" t="s">
        <v>168</v>
      </c>
      <c r="E30" s="12" t="s">
        <v>169</v>
      </c>
      <c r="F30" s="25" t="s">
        <v>84</v>
      </c>
      <c r="G30" s="20" t="s">
        <v>85</v>
      </c>
      <c r="H30" s="20" t="s">
        <v>384</v>
      </c>
      <c r="I30" s="12" t="s">
        <v>396</v>
      </c>
    </row>
    <row r="31" spans="1:9" ht="51" customHeight="1" thickBot="1" x14ac:dyDescent="0.3">
      <c r="A31" s="21">
        <v>27</v>
      </c>
      <c r="B31" s="18" t="s">
        <v>160</v>
      </c>
      <c r="C31" s="21" t="s">
        <v>170</v>
      </c>
      <c r="D31" s="18" t="s">
        <v>171</v>
      </c>
      <c r="E31" s="18" t="s">
        <v>172</v>
      </c>
      <c r="F31" s="27" t="s">
        <v>90</v>
      </c>
      <c r="G31" s="21" t="s">
        <v>90</v>
      </c>
      <c r="H31" s="21" t="s">
        <v>384</v>
      </c>
      <c r="I31" s="18" t="s">
        <v>397</v>
      </c>
    </row>
    <row r="32" spans="1:9" ht="66" customHeight="1" x14ac:dyDescent="0.25">
      <c r="A32" s="22">
        <v>28</v>
      </c>
      <c r="B32" s="19" t="s">
        <v>173</v>
      </c>
      <c r="C32" s="22" t="s">
        <v>174</v>
      </c>
      <c r="D32" s="19" t="s">
        <v>175</v>
      </c>
      <c r="E32" s="19" t="s">
        <v>176</v>
      </c>
      <c r="F32" s="31" t="s">
        <v>90</v>
      </c>
      <c r="G32" s="22" t="s">
        <v>90</v>
      </c>
      <c r="H32" s="22" t="s">
        <v>86</v>
      </c>
      <c r="I32" s="19"/>
    </row>
    <row r="33" spans="1:9" ht="81" customHeight="1" x14ac:dyDescent="0.25">
      <c r="A33" s="23">
        <v>29</v>
      </c>
      <c r="B33" s="17" t="s">
        <v>173</v>
      </c>
      <c r="C33" s="23" t="s">
        <v>177</v>
      </c>
      <c r="D33" s="17" t="s">
        <v>178</v>
      </c>
      <c r="E33" s="17" t="s">
        <v>179</v>
      </c>
      <c r="F33" s="29" t="s">
        <v>90</v>
      </c>
      <c r="G33" s="23" t="s">
        <v>90</v>
      </c>
      <c r="H33" s="23" t="s">
        <v>86</v>
      </c>
      <c r="I33" s="17"/>
    </row>
    <row r="34" spans="1:9" ht="51" customHeight="1" x14ac:dyDescent="0.25">
      <c r="A34" s="20">
        <v>30</v>
      </c>
      <c r="B34" s="12" t="s">
        <v>173</v>
      </c>
      <c r="C34" s="20" t="s">
        <v>180</v>
      </c>
      <c r="D34" s="12" t="s">
        <v>181</v>
      </c>
      <c r="E34" s="12" t="s">
        <v>182</v>
      </c>
      <c r="F34" s="26" t="s">
        <v>90</v>
      </c>
      <c r="G34" s="20" t="s">
        <v>90</v>
      </c>
      <c r="H34" s="20" t="s">
        <v>86</v>
      </c>
      <c r="I34" s="12"/>
    </row>
    <row r="35" spans="1:9" ht="66" customHeight="1" x14ac:dyDescent="0.25">
      <c r="A35" s="20">
        <v>31</v>
      </c>
      <c r="B35" s="12" t="s">
        <v>173</v>
      </c>
      <c r="C35" s="20" t="s">
        <v>183</v>
      </c>
      <c r="D35" s="12" t="s">
        <v>184</v>
      </c>
      <c r="E35" s="12" t="s">
        <v>185</v>
      </c>
      <c r="F35" s="26" t="s">
        <v>90</v>
      </c>
      <c r="G35" s="20" t="s">
        <v>90</v>
      </c>
      <c r="H35" s="20" t="s">
        <v>86</v>
      </c>
      <c r="I35" s="12"/>
    </row>
    <row r="36" spans="1:9" ht="51" customHeight="1" x14ac:dyDescent="0.25">
      <c r="A36" s="20">
        <v>32</v>
      </c>
      <c r="B36" s="12" t="s">
        <v>173</v>
      </c>
      <c r="C36" s="20" t="s">
        <v>186</v>
      </c>
      <c r="D36" s="12" t="s">
        <v>187</v>
      </c>
      <c r="E36" s="12" t="s">
        <v>188</v>
      </c>
      <c r="F36" s="26" t="s">
        <v>90</v>
      </c>
      <c r="G36" s="20" t="s">
        <v>97</v>
      </c>
      <c r="H36" s="20" t="s">
        <v>86</v>
      </c>
      <c r="I36" s="12"/>
    </row>
    <row r="37" spans="1:9" ht="51" customHeight="1" thickBot="1" x14ac:dyDescent="0.3">
      <c r="A37" s="21">
        <v>33</v>
      </c>
      <c r="B37" s="18" t="s">
        <v>173</v>
      </c>
      <c r="C37" s="21" t="s">
        <v>189</v>
      </c>
      <c r="D37" s="18" t="s">
        <v>190</v>
      </c>
      <c r="E37" s="18" t="s">
        <v>191</v>
      </c>
      <c r="F37" s="27" t="s">
        <v>90</v>
      </c>
      <c r="G37" s="21" t="s">
        <v>97</v>
      </c>
      <c r="H37" s="21" t="s">
        <v>86</v>
      </c>
      <c r="I37" s="18"/>
    </row>
    <row r="38" spans="1:9" ht="51" customHeight="1" x14ac:dyDescent="0.25">
      <c r="A38" s="22">
        <v>34</v>
      </c>
      <c r="B38" s="19" t="s">
        <v>192</v>
      </c>
      <c r="C38" s="22" t="s">
        <v>193</v>
      </c>
      <c r="D38" s="19" t="s">
        <v>194</v>
      </c>
      <c r="E38" s="19" t="s">
        <v>195</v>
      </c>
      <c r="F38" s="28" t="s">
        <v>85</v>
      </c>
      <c r="G38" s="22" t="s">
        <v>85</v>
      </c>
      <c r="H38" s="22" t="s">
        <v>384</v>
      </c>
      <c r="I38" s="19" t="s">
        <v>398</v>
      </c>
    </row>
    <row r="39" spans="1:9" ht="66" customHeight="1" x14ac:dyDescent="0.25">
      <c r="A39" s="23">
        <v>35</v>
      </c>
      <c r="B39" s="17" t="s">
        <v>192</v>
      </c>
      <c r="C39" s="23" t="s">
        <v>196</v>
      </c>
      <c r="D39" s="17" t="s">
        <v>197</v>
      </c>
      <c r="E39" s="17" t="s">
        <v>198</v>
      </c>
      <c r="F39" s="34" t="s">
        <v>85</v>
      </c>
      <c r="G39" s="23" t="s">
        <v>85</v>
      </c>
      <c r="H39" s="23" t="s">
        <v>384</v>
      </c>
      <c r="I39" s="17" t="s">
        <v>399</v>
      </c>
    </row>
    <row r="40" spans="1:9" ht="36" customHeight="1" x14ac:dyDescent="0.25">
      <c r="A40" s="20">
        <v>36</v>
      </c>
      <c r="B40" s="12" t="s">
        <v>192</v>
      </c>
      <c r="C40" s="20" t="s">
        <v>199</v>
      </c>
      <c r="D40" s="12" t="s">
        <v>200</v>
      </c>
      <c r="E40" s="12" t="s">
        <v>201</v>
      </c>
      <c r="F40" s="26" t="s">
        <v>90</v>
      </c>
      <c r="G40" s="20" t="s">
        <v>97</v>
      </c>
      <c r="H40" s="20" t="s">
        <v>384</v>
      </c>
      <c r="I40" s="12" t="s">
        <v>400</v>
      </c>
    </row>
    <row r="41" spans="1:9" ht="51" customHeight="1" thickBot="1" x14ac:dyDescent="0.3">
      <c r="A41" s="21">
        <v>37</v>
      </c>
      <c r="B41" s="18" t="s">
        <v>192</v>
      </c>
      <c r="C41" s="21" t="s">
        <v>202</v>
      </c>
      <c r="D41" s="18" t="s">
        <v>203</v>
      </c>
      <c r="E41" s="18" t="s">
        <v>204</v>
      </c>
      <c r="F41" s="27" t="s">
        <v>90</v>
      </c>
      <c r="G41" s="21" t="s">
        <v>97</v>
      </c>
      <c r="H41" s="21" t="s">
        <v>384</v>
      </c>
      <c r="I41" s="18" t="s">
        <v>401</v>
      </c>
    </row>
    <row r="42" spans="1:9" ht="51" customHeight="1" x14ac:dyDescent="0.25">
      <c r="A42" s="22">
        <v>38</v>
      </c>
      <c r="B42" s="19" t="s">
        <v>205</v>
      </c>
      <c r="C42" s="22" t="s">
        <v>206</v>
      </c>
      <c r="D42" s="19" t="s">
        <v>207</v>
      </c>
      <c r="E42" s="19" t="s">
        <v>208</v>
      </c>
      <c r="F42" s="33" t="s">
        <v>84</v>
      </c>
      <c r="G42" s="22" t="s">
        <v>85</v>
      </c>
      <c r="H42" s="22" t="s">
        <v>384</v>
      </c>
      <c r="I42" s="19" t="s">
        <v>402</v>
      </c>
    </row>
    <row r="43" spans="1:9" ht="51" customHeight="1" x14ac:dyDescent="0.25">
      <c r="A43" s="23">
        <v>39</v>
      </c>
      <c r="B43" s="17" t="s">
        <v>205</v>
      </c>
      <c r="C43" s="23" t="s">
        <v>209</v>
      </c>
      <c r="D43" s="17" t="s">
        <v>210</v>
      </c>
      <c r="E43" s="17" t="s">
        <v>211</v>
      </c>
      <c r="F43" s="34" t="s">
        <v>85</v>
      </c>
      <c r="G43" s="23" t="s">
        <v>85</v>
      </c>
      <c r="H43" s="23" t="s">
        <v>384</v>
      </c>
      <c r="I43" s="17" t="s">
        <v>403</v>
      </c>
    </row>
    <row r="44" spans="1:9" ht="51" customHeight="1" x14ac:dyDescent="0.25">
      <c r="A44" s="20">
        <v>40</v>
      </c>
      <c r="B44" s="12" t="s">
        <v>205</v>
      </c>
      <c r="C44" s="20" t="s">
        <v>212</v>
      </c>
      <c r="D44" s="12" t="s">
        <v>213</v>
      </c>
      <c r="E44" s="12" t="s">
        <v>214</v>
      </c>
      <c r="F44" s="35" t="s">
        <v>85</v>
      </c>
      <c r="G44" s="20" t="s">
        <v>85</v>
      </c>
      <c r="H44" s="20" t="s">
        <v>384</v>
      </c>
      <c r="I44" s="12" t="s">
        <v>404</v>
      </c>
    </row>
    <row r="45" spans="1:9" ht="51" customHeight="1" x14ac:dyDescent="0.25">
      <c r="A45" s="20">
        <v>41</v>
      </c>
      <c r="B45" s="12" t="s">
        <v>205</v>
      </c>
      <c r="C45" s="20" t="s">
        <v>215</v>
      </c>
      <c r="D45" s="12" t="s">
        <v>216</v>
      </c>
      <c r="E45" s="12" t="s">
        <v>217</v>
      </c>
      <c r="F45" s="26" t="s">
        <v>90</v>
      </c>
      <c r="G45" s="20" t="s">
        <v>85</v>
      </c>
      <c r="H45" s="20" t="s">
        <v>384</v>
      </c>
      <c r="I45" s="12" t="s">
        <v>405</v>
      </c>
    </row>
    <row r="46" spans="1:9" ht="51" customHeight="1" x14ac:dyDescent="0.25">
      <c r="A46" s="20">
        <v>42</v>
      </c>
      <c r="B46" s="12" t="s">
        <v>205</v>
      </c>
      <c r="C46" s="20" t="s">
        <v>218</v>
      </c>
      <c r="D46" s="12" t="s">
        <v>219</v>
      </c>
      <c r="E46" s="12" t="s">
        <v>220</v>
      </c>
      <c r="F46" s="26" t="s">
        <v>90</v>
      </c>
      <c r="G46" s="20" t="s">
        <v>85</v>
      </c>
      <c r="H46" s="20" t="s">
        <v>384</v>
      </c>
      <c r="I46" s="12" t="s">
        <v>406</v>
      </c>
    </row>
    <row r="47" spans="1:9" ht="66" customHeight="1" x14ac:dyDescent="0.25">
      <c r="A47" s="20">
        <v>43</v>
      </c>
      <c r="B47" s="12" t="s">
        <v>205</v>
      </c>
      <c r="C47" s="20" t="s">
        <v>221</v>
      </c>
      <c r="D47" s="12" t="s">
        <v>222</v>
      </c>
      <c r="E47" s="12" t="s">
        <v>223</v>
      </c>
      <c r="F47" s="26" t="s">
        <v>90</v>
      </c>
      <c r="G47" s="20" t="s">
        <v>85</v>
      </c>
      <c r="H47" s="20" t="s">
        <v>384</v>
      </c>
      <c r="I47" s="12" t="s">
        <v>407</v>
      </c>
    </row>
    <row r="48" spans="1:9" ht="51" customHeight="1" x14ac:dyDescent="0.25">
      <c r="A48" s="20">
        <v>44</v>
      </c>
      <c r="B48" s="12" t="s">
        <v>205</v>
      </c>
      <c r="C48" s="20" t="s">
        <v>224</v>
      </c>
      <c r="D48" s="12" t="s">
        <v>225</v>
      </c>
      <c r="E48" s="12" t="s">
        <v>226</v>
      </c>
      <c r="F48" s="26" t="s">
        <v>90</v>
      </c>
      <c r="G48" s="20" t="s">
        <v>90</v>
      </c>
      <c r="H48" s="20" t="s">
        <v>384</v>
      </c>
      <c r="I48" s="12" t="s">
        <v>408</v>
      </c>
    </row>
    <row r="50" spans="1:2" x14ac:dyDescent="0.25">
      <c r="A50" s="2" t="s">
        <v>227</v>
      </c>
      <c r="B50" s="2" t="str">
        <f>COUNTIF(H5:H48,"Corregido")&amp;" de 44 corregidos"</f>
        <v>24 de 44 corregidos</v>
      </c>
    </row>
  </sheetData>
  <autoFilter ref="A4:I48" xr:uid="{83E3136B-10DD-4EB0-8708-14FFBEF4F3A6}"/>
  <mergeCells count="1">
    <mergeCell ref="A2:I2"/>
  </mergeCells>
  <conditionalFormatting sqref="H5:H48">
    <cfRule type="cellIs" dxfId="11" priority="1" stopIfTrue="1" operator="equal">
      <formula>"Corregido"</formula>
    </cfRule>
    <cfRule type="cellIs" dxfId="10" priority="2" stopIfTrue="1" operator="equal">
      <formula>"En proceso"</formula>
    </cfRule>
    <cfRule type="cellIs" dxfId="9" priority="3" stopIfTrue="1" operator="equal">
      <formula>"Bloqueado"</formula>
    </cfRule>
  </conditionalFormatting>
  <dataValidations count="1">
    <dataValidation type="list" allowBlank="1" showInputMessage="1" showErrorMessage="1" sqref="H5:H48" xr:uid="{3038E497-7449-4817-AA82-0CFA821909F2}">
      <mc:AlternateContent xmlns:x12ac="http://schemas.microsoft.com/office/spreadsheetml/2011/1/ac" xmlns:mc="http://schemas.openxmlformats.org/markup-compatibility/2006">
        <mc:Choice Requires="x12ac">
          <x12ac:list>"Pendiente,En proceso,Corregido,Bloqueado"</x12ac:list>
        </mc:Choice>
        <mc:Fallback>
          <formula1>"Pendiente,En proceso,Corregido,Bloqueado"</formula1>
        </mc:Fallback>
      </mc:AlternateContent>
    </dataValidation>
  </dataValidations>
  <pageMargins left="0.7" right="0.7" top="0.75" bottom="0.75" header="0.3" footer="0.3"/>
  <pageSetup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F0F08-DEF8-4AD6-9056-B611AB867942}">
  <sheetPr>
    <pageSetUpPr fitToPage="1"/>
  </sheetPr>
  <dimension ref="A1:I22"/>
  <sheetViews>
    <sheetView workbookViewId="0">
      <pane ySplit="4" topLeftCell="A5" activePane="bottomLeft" state="frozenSplit"/>
      <selection pane="bottomLeft"/>
    </sheetView>
  </sheetViews>
  <sheetFormatPr baseColWidth="10" defaultColWidth="11.42578125" defaultRowHeight="15" x14ac:dyDescent="0.25"/>
  <cols>
    <col min="1" max="1" width="5.7109375" customWidth="1"/>
    <col min="2" max="2" width="24.7109375" customWidth="1"/>
    <col min="3" max="3" width="13.7109375" customWidth="1"/>
    <col min="4" max="4" width="45.7109375" customWidth="1"/>
    <col min="5" max="5" width="55.7109375" customWidth="1"/>
    <col min="6" max="7" width="10.7109375" customWidth="1"/>
    <col min="8" max="8" width="12.7109375" customWidth="1"/>
    <col min="9" max="9" width="30.7109375" customWidth="1"/>
  </cols>
  <sheetData>
    <row r="1" spans="1:9" ht="21" x14ac:dyDescent="0.35">
      <c r="A1" s="1" t="s">
        <v>228</v>
      </c>
    </row>
    <row r="2" spans="1:9" ht="30" customHeight="1" x14ac:dyDescent="0.25">
      <c r="A2" s="39" t="s">
        <v>229</v>
      </c>
      <c r="B2" s="39"/>
      <c r="C2" s="39"/>
      <c r="D2" s="39"/>
      <c r="E2" s="39"/>
      <c r="F2" s="39"/>
      <c r="G2" s="39"/>
      <c r="H2" s="39"/>
      <c r="I2" s="39"/>
    </row>
    <row r="4" spans="1:9" ht="32.1" customHeight="1" x14ac:dyDescent="0.25">
      <c r="A4" s="11" t="s">
        <v>71</v>
      </c>
      <c r="B4" s="11" t="s">
        <v>72</v>
      </c>
      <c r="C4" s="11" t="s">
        <v>73</v>
      </c>
      <c r="D4" s="11" t="s">
        <v>74</v>
      </c>
      <c r="E4" s="11" t="s">
        <v>75</v>
      </c>
      <c r="F4" s="11" t="s">
        <v>76</v>
      </c>
      <c r="G4" s="11" t="s">
        <v>77</v>
      </c>
      <c r="H4" s="11" t="s">
        <v>78</v>
      </c>
      <c r="I4" s="11" t="s">
        <v>79</v>
      </c>
    </row>
    <row r="5" spans="1:9" ht="36" customHeight="1" x14ac:dyDescent="0.25">
      <c r="A5" s="20">
        <v>1</v>
      </c>
      <c r="B5" s="12" t="s">
        <v>51</v>
      </c>
      <c r="C5" s="20" t="s">
        <v>230</v>
      </c>
      <c r="D5" s="12" t="s">
        <v>231</v>
      </c>
      <c r="E5" s="12" t="s">
        <v>232</v>
      </c>
      <c r="F5" s="35" t="s">
        <v>85</v>
      </c>
      <c r="G5" s="20" t="s">
        <v>85</v>
      </c>
      <c r="H5" s="20" t="s">
        <v>86</v>
      </c>
      <c r="I5" s="12"/>
    </row>
    <row r="6" spans="1:9" ht="36" customHeight="1" x14ac:dyDescent="0.25">
      <c r="A6" s="20">
        <v>2</v>
      </c>
      <c r="B6" s="12" t="s">
        <v>51</v>
      </c>
      <c r="C6" s="20" t="s">
        <v>233</v>
      </c>
      <c r="D6" s="12" t="s">
        <v>234</v>
      </c>
      <c r="E6" s="12" t="s">
        <v>235</v>
      </c>
      <c r="F6" s="35" t="s">
        <v>85</v>
      </c>
      <c r="G6" s="20" t="s">
        <v>90</v>
      </c>
      <c r="H6" s="20" t="s">
        <v>86</v>
      </c>
      <c r="I6" s="12"/>
    </row>
    <row r="7" spans="1:9" ht="51" customHeight="1" x14ac:dyDescent="0.25">
      <c r="A7" s="20">
        <v>3</v>
      </c>
      <c r="B7" s="12" t="s">
        <v>51</v>
      </c>
      <c r="C7" s="20" t="s">
        <v>236</v>
      </c>
      <c r="D7" s="12" t="s">
        <v>237</v>
      </c>
      <c r="E7" s="12" t="s">
        <v>238</v>
      </c>
      <c r="F7" s="35" t="s">
        <v>85</v>
      </c>
      <c r="G7" s="20" t="s">
        <v>90</v>
      </c>
      <c r="H7" s="20" t="s">
        <v>86</v>
      </c>
      <c r="I7" s="12"/>
    </row>
    <row r="8" spans="1:9" ht="51" customHeight="1" x14ac:dyDescent="0.25">
      <c r="A8" s="20">
        <v>4</v>
      </c>
      <c r="B8" s="12" t="s">
        <v>51</v>
      </c>
      <c r="C8" s="20" t="s">
        <v>239</v>
      </c>
      <c r="D8" s="12" t="s">
        <v>240</v>
      </c>
      <c r="E8" s="12" t="s">
        <v>241</v>
      </c>
      <c r="F8" s="26" t="s">
        <v>90</v>
      </c>
      <c r="G8" s="20" t="s">
        <v>97</v>
      </c>
      <c r="H8" s="20" t="s">
        <v>86</v>
      </c>
      <c r="I8" s="12"/>
    </row>
    <row r="9" spans="1:9" ht="51" customHeight="1" thickBot="1" x14ac:dyDescent="0.3">
      <c r="A9" s="21">
        <v>5</v>
      </c>
      <c r="B9" s="18" t="s">
        <v>51</v>
      </c>
      <c r="C9" s="21" t="s">
        <v>242</v>
      </c>
      <c r="D9" s="18" t="s">
        <v>243</v>
      </c>
      <c r="E9" s="18" t="s">
        <v>244</v>
      </c>
      <c r="F9" s="36" t="s">
        <v>85</v>
      </c>
      <c r="G9" s="21" t="s">
        <v>97</v>
      </c>
      <c r="H9" s="21" t="s">
        <v>86</v>
      </c>
      <c r="I9" s="18"/>
    </row>
    <row r="10" spans="1:9" ht="51" customHeight="1" x14ac:dyDescent="0.25">
      <c r="A10" s="22">
        <v>6</v>
      </c>
      <c r="B10" s="19" t="s">
        <v>245</v>
      </c>
      <c r="C10" s="22" t="s">
        <v>246</v>
      </c>
      <c r="D10" s="19" t="s">
        <v>247</v>
      </c>
      <c r="E10" s="19" t="s">
        <v>248</v>
      </c>
      <c r="F10" s="28" t="s">
        <v>85</v>
      </c>
      <c r="G10" s="22" t="s">
        <v>85</v>
      </c>
      <c r="H10" s="22" t="s">
        <v>86</v>
      </c>
      <c r="I10" s="19"/>
    </row>
    <row r="11" spans="1:9" ht="36" customHeight="1" x14ac:dyDescent="0.25">
      <c r="A11" s="23">
        <v>7</v>
      </c>
      <c r="B11" s="17" t="s">
        <v>245</v>
      </c>
      <c r="C11" s="23" t="s">
        <v>249</v>
      </c>
      <c r="D11" s="17" t="s">
        <v>250</v>
      </c>
      <c r="E11" s="17" t="s">
        <v>251</v>
      </c>
      <c r="F11" s="34" t="s">
        <v>85</v>
      </c>
      <c r="G11" s="23" t="s">
        <v>85</v>
      </c>
      <c r="H11" s="23" t="s">
        <v>86</v>
      </c>
      <c r="I11" s="17"/>
    </row>
    <row r="12" spans="1:9" ht="51" customHeight="1" x14ac:dyDescent="0.25">
      <c r="A12" s="20">
        <v>8</v>
      </c>
      <c r="B12" s="12" t="s">
        <v>245</v>
      </c>
      <c r="C12" s="20" t="s">
        <v>252</v>
      </c>
      <c r="D12" s="12" t="s">
        <v>253</v>
      </c>
      <c r="E12" s="12" t="s">
        <v>254</v>
      </c>
      <c r="F12" s="26" t="s">
        <v>90</v>
      </c>
      <c r="G12" s="20" t="s">
        <v>85</v>
      </c>
      <c r="H12" s="20" t="s">
        <v>86</v>
      </c>
      <c r="I12" s="12"/>
    </row>
    <row r="13" spans="1:9" ht="36" customHeight="1" x14ac:dyDescent="0.25">
      <c r="A13" s="20">
        <v>9</v>
      </c>
      <c r="B13" s="12" t="s">
        <v>245</v>
      </c>
      <c r="C13" s="20" t="s">
        <v>255</v>
      </c>
      <c r="D13" s="12" t="s">
        <v>256</v>
      </c>
      <c r="E13" s="12" t="s">
        <v>257</v>
      </c>
      <c r="F13" s="26" t="s">
        <v>90</v>
      </c>
      <c r="G13" s="20" t="s">
        <v>85</v>
      </c>
      <c r="H13" s="20" t="s">
        <v>86</v>
      </c>
      <c r="I13" s="12"/>
    </row>
    <row r="14" spans="1:9" ht="36" customHeight="1" x14ac:dyDescent="0.25">
      <c r="A14" s="20">
        <v>10</v>
      </c>
      <c r="B14" s="12" t="s">
        <v>245</v>
      </c>
      <c r="C14" s="20" t="s">
        <v>258</v>
      </c>
      <c r="D14" s="12" t="s">
        <v>259</v>
      </c>
      <c r="E14" s="12" t="s">
        <v>260</v>
      </c>
      <c r="F14" s="35" t="s">
        <v>85</v>
      </c>
      <c r="G14" s="20" t="s">
        <v>90</v>
      </c>
      <c r="H14" s="20" t="s">
        <v>86</v>
      </c>
      <c r="I14" s="12"/>
    </row>
    <row r="15" spans="1:9" ht="51" customHeight="1" x14ac:dyDescent="0.25">
      <c r="A15" s="20">
        <v>11</v>
      </c>
      <c r="B15" s="12" t="s">
        <v>245</v>
      </c>
      <c r="C15" s="20" t="s">
        <v>261</v>
      </c>
      <c r="D15" s="12" t="s">
        <v>262</v>
      </c>
      <c r="E15" s="12" t="s">
        <v>263</v>
      </c>
      <c r="F15" s="26" t="s">
        <v>90</v>
      </c>
      <c r="G15" s="20" t="s">
        <v>90</v>
      </c>
      <c r="H15" s="20" t="s">
        <v>86</v>
      </c>
      <c r="I15" s="12"/>
    </row>
    <row r="16" spans="1:9" ht="36" customHeight="1" thickBot="1" x14ac:dyDescent="0.3">
      <c r="A16" s="21">
        <v>12</v>
      </c>
      <c r="B16" s="18" t="s">
        <v>245</v>
      </c>
      <c r="C16" s="21" t="s">
        <v>264</v>
      </c>
      <c r="D16" s="18" t="s">
        <v>265</v>
      </c>
      <c r="E16" s="18" t="s">
        <v>266</v>
      </c>
      <c r="F16" s="27" t="s">
        <v>90</v>
      </c>
      <c r="G16" s="21" t="s">
        <v>90</v>
      </c>
      <c r="H16" s="21" t="s">
        <v>86</v>
      </c>
      <c r="I16" s="18"/>
    </row>
    <row r="17" spans="1:9" ht="96" customHeight="1" x14ac:dyDescent="0.25">
      <c r="A17" s="22">
        <v>13</v>
      </c>
      <c r="B17" s="19" t="s">
        <v>267</v>
      </c>
      <c r="C17" s="22" t="s">
        <v>268</v>
      </c>
      <c r="D17" s="19" t="s">
        <v>269</v>
      </c>
      <c r="E17" s="19" t="s">
        <v>270</v>
      </c>
      <c r="F17" s="33" t="s">
        <v>84</v>
      </c>
      <c r="G17" s="22" t="s">
        <v>85</v>
      </c>
      <c r="H17" s="22" t="s">
        <v>86</v>
      </c>
      <c r="I17" s="19"/>
    </row>
    <row r="18" spans="1:9" ht="81" customHeight="1" x14ac:dyDescent="0.25">
      <c r="A18" s="23">
        <v>14</v>
      </c>
      <c r="B18" s="17" t="s">
        <v>267</v>
      </c>
      <c r="C18" s="23" t="s">
        <v>271</v>
      </c>
      <c r="D18" s="17" t="s">
        <v>272</v>
      </c>
      <c r="E18" s="17" t="s">
        <v>273</v>
      </c>
      <c r="F18" s="34" t="s">
        <v>85</v>
      </c>
      <c r="G18" s="23" t="s">
        <v>90</v>
      </c>
      <c r="H18" s="23" t="s">
        <v>86</v>
      </c>
      <c r="I18" s="17"/>
    </row>
    <row r="19" spans="1:9" ht="66" customHeight="1" x14ac:dyDescent="0.25">
      <c r="A19" s="20">
        <v>15</v>
      </c>
      <c r="B19" s="12" t="s">
        <v>267</v>
      </c>
      <c r="C19" s="20" t="s">
        <v>274</v>
      </c>
      <c r="D19" s="12" t="s">
        <v>275</v>
      </c>
      <c r="E19" s="12" t="s">
        <v>276</v>
      </c>
      <c r="F19" s="26" t="s">
        <v>90</v>
      </c>
      <c r="G19" s="20" t="s">
        <v>90</v>
      </c>
      <c r="H19" s="20" t="s">
        <v>86</v>
      </c>
      <c r="I19" s="12"/>
    </row>
    <row r="20" spans="1:9" ht="66" customHeight="1" x14ac:dyDescent="0.25">
      <c r="A20" s="20">
        <v>16</v>
      </c>
      <c r="B20" s="12" t="s">
        <v>267</v>
      </c>
      <c r="C20" s="20" t="s">
        <v>277</v>
      </c>
      <c r="D20" s="12" t="s">
        <v>278</v>
      </c>
      <c r="E20" s="12" t="s">
        <v>279</v>
      </c>
      <c r="F20" s="26" t="s">
        <v>90</v>
      </c>
      <c r="G20" s="20" t="s">
        <v>90</v>
      </c>
      <c r="H20" s="20" t="s">
        <v>86</v>
      </c>
      <c r="I20" s="12"/>
    </row>
    <row r="22" spans="1:9" x14ac:dyDescent="0.25">
      <c r="A22" s="2" t="s">
        <v>227</v>
      </c>
      <c r="B22" s="2" t="str">
        <f>COUNTIF(H5:H20,"Corregido")&amp;" de 16 corregidos"</f>
        <v>0 de 16 corregidos</v>
      </c>
    </row>
  </sheetData>
  <autoFilter ref="A4:I20" xr:uid="{347F0F08-DEF8-4AD6-9056-B611AB867942}"/>
  <mergeCells count="1">
    <mergeCell ref="A2:I2"/>
  </mergeCells>
  <conditionalFormatting sqref="H5:H20">
    <cfRule type="cellIs" dxfId="8" priority="1" stopIfTrue="1" operator="equal">
      <formula>"Corregido"</formula>
    </cfRule>
    <cfRule type="cellIs" dxfId="7" priority="2" stopIfTrue="1" operator="equal">
      <formula>"En proceso"</formula>
    </cfRule>
    <cfRule type="cellIs" dxfId="6" priority="3" stopIfTrue="1" operator="equal">
      <formula>"Bloqueado"</formula>
    </cfRule>
  </conditionalFormatting>
  <dataValidations count="1">
    <dataValidation type="list" allowBlank="1" showInputMessage="1" showErrorMessage="1" sqref="H5:H20" xr:uid="{AE640E63-D640-4CD5-8795-513F4B623E91}">
      <mc:AlternateContent xmlns:x12ac="http://schemas.microsoft.com/office/spreadsheetml/2011/1/ac" xmlns:mc="http://schemas.openxmlformats.org/markup-compatibility/2006">
        <mc:Choice Requires="x12ac">
          <x12ac:list>"Pendiente,En proceso,Corregido,Bloqueado"</x12ac:list>
        </mc:Choice>
        <mc:Fallback>
          <formula1>"Pendiente,En proceso,Corregido,Bloqueado"</formula1>
        </mc:Fallback>
      </mc:AlternateContent>
    </dataValidation>
  </dataValidations>
  <pageMargins left="0.7" right="0.7" top="0.75" bottom="0.75" header="0.3" footer="0.3"/>
  <pageSetup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331C1-CD7B-4A92-8F62-A83B45C9293A}">
  <sheetPr>
    <pageSetUpPr fitToPage="1"/>
  </sheetPr>
  <dimension ref="A1:I20"/>
  <sheetViews>
    <sheetView workbookViewId="0">
      <pane ySplit="4" topLeftCell="A5" activePane="bottomLeft" state="frozenSplit"/>
      <selection pane="bottomLeft"/>
    </sheetView>
  </sheetViews>
  <sheetFormatPr baseColWidth="10" defaultColWidth="11.42578125" defaultRowHeight="15" x14ac:dyDescent="0.25"/>
  <cols>
    <col min="1" max="1" width="5.7109375" customWidth="1"/>
    <col min="2" max="2" width="24.7109375" customWidth="1"/>
    <col min="3" max="3" width="13.7109375" customWidth="1"/>
    <col min="4" max="4" width="45.7109375" customWidth="1"/>
    <col min="5" max="5" width="55.7109375" customWidth="1"/>
    <col min="6" max="7" width="10.7109375" customWidth="1"/>
    <col min="8" max="8" width="12.7109375" customWidth="1"/>
    <col min="9" max="9" width="30.7109375" customWidth="1"/>
  </cols>
  <sheetData>
    <row r="1" spans="1:9" ht="21" x14ac:dyDescent="0.35">
      <c r="A1" s="1" t="s">
        <v>280</v>
      </c>
    </row>
    <row r="2" spans="1:9" ht="30" customHeight="1" x14ac:dyDescent="0.25">
      <c r="A2" s="39" t="s">
        <v>281</v>
      </c>
      <c r="B2" s="39"/>
      <c r="C2" s="39"/>
      <c r="D2" s="39"/>
      <c r="E2" s="39"/>
      <c r="F2" s="39"/>
      <c r="G2" s="39"/>
      <c r="H2" s="39"/>
      <c r="I2" s="39"/>
    </row>
    <row r="4" spans="1:9" ht="32.1" customHeight="1" x14ac:dyDescent="0.25">
      <c r="A4" s="11" t="s">
        <v>71</v>
      </c>
      <c r="B4" s="11" t="s">
        <v>72</v>
      </c>
      <c r="C4" s="11" t="s">
        <v>73</v>
      </c>
      <c r="D4" s="11" t="s">
        <v>74</v>
      </c>
      <c r="E4" s="11" t="s">
        <v>75</v>
      </c>
      <c r="F4" s="11" t="s">
        <v>76</v>
      </c>
      <c r="G4" s="11" t="s">
        <v>77</v>
      </c>
      <c r="H4" s="11" t="s">
        <v>78</v>
      </c>
      <c r="I4" s="11" t="s">
        <v>79</v>
      </c>
    </row>
    <row r="5" spans="1:9" ht="36" customHeight="1" x14ac:dyDescent="0.25">
      <c r="A5" s="20">
        <v>1</v>
      </c>
      <c r="B5" s="12" t="s">
        <v>282</v>
      </c>
      <c r="C5" s="20" t="s">
        <v>283</v>
      </c>
      <c r="D5" s="12" t="s">
        <v>284</v>
      </c>
      <c r="E5" s="12" t="s">
        <v>285</v>
      </c>
      <c r="F5" s="35" t="s">
        <v>85</v>
      </c>
      <c r="G5" s="20" t="s">
        <v>90</v>
      </c>
      <c r="H5" s="20" t="s">
        <v>86</v>
      </c>
      <c r="I5" s="12"/>
    </row>
    <row r="6" spans="1:9" ht="36" customHeight="1" x14ac:dyDescent="0.25">
      <c r="A6" s="20">
        <v>2</v>
      </c>
      <c r="B6" s="12" t="s">
        <v>282</v>
      </c>
      <c r="C6" s="20" t="s">
        <v>286</v>
      </c>
      <c r="D6" s="12" t="s">
        <v>287</v>
      </c>
      <c r="E6" s="12" t="s">
        <v>288</v>
      </c>
      <c r="F6" s="35" t="s">
        <v>85</v>
      </c>
      <c r="G6" s="20" t="s">
        <v>90</v>
      </c>
      <c r="H6" s="20" t="s">
        <v>86</v>
      </c>
      <c r="I6" s="12"/>
    </row>
    <row r="7" spans="1:9" ht="51" customHeight="1" x14ac:dyDescent="0.25">
      <c r="A7" s="20">
        <v>3</v>
      </c>
      <c r="B7" s="12" t="s">
        <v>282</v>
      </c>
      <c r="C7" s="20" t="s">
        <v>289</v>
      </c>
      <c r="D7" s="12" t="s">
        <v>290</v>
      </c>
      <c r="E7" s="12" t="s">
        <v>291</v>
      </c>
      <c r="F7" s="35" t="s">
        <v>85</v>
      </c>
      <c r="G7" s="20" t="s">
        <v>85</v>
      </c>
      <c r="H7" s="20" t="s">
        <v>86</v>
      </c>
      <c r="I7" s="12"/>
    </row>
    <row r="8" spans="1:9" ht="51" customHeight="1" x14ac:dyDescent="0.25">
      <c r="A8" s="20">
        <v>4</v>
      </c>
      <c r="B8" s="12" t="s">
        <v>282</v>
      </c>
      <c r="C8" s="20" t="s">
        <v>292</v>
      </c>
      <c r="D8" s="12" t="s">
        <v>293</v>
      </c>
      <c r="E8" s="12" t="s">
        <v>294</v>
      </c>
      <c r="F8" s="26" t="s">
        <v>90</v>
      </c>
      <c r="G8" s="20" t="s">
        <v>90</v>
      </c>
      <c r="H8" s="20" t="s">
        <v>86</v>
      </c>
      <c r="I8" s="12"/>
    </row>
    <row r="9" spans="1:9" ht="51" customHeight="1" x14ac:dyDescent="0.25">
      <c r="A9" s="20">
        <v>5</v>
      </c>
      <c r="B9" s="12" t="s">
        <v>282</v>
      </c>
      <c r="C9" s="20" t="s">
        <v>295</v>
      </c>
      <c r="D9" s="12" t="s">
        <v>296</v>
      </c>
      <c r="E9" s="12" t="s">
        <v>297</v>
      </c>
      <c r="F9" s="26" t="s">
        <v>90</v>
      </c>
      <c r="G9" s="20" t="s">
        <v>90</v>
      </c>
      <c r="H9" s="20" t="s">
        <v>86</v>
      </c>
      <c r="I9" s="12"/>
    </row>
    <row r="10" spans="1:9" ht="36" customHeight="1" x14ac:dyDescent="0.25">
      <c r="A10" s="20">
        <v>6</v>
      </c>
      <c r="B10" s="12" t="s">
        <v>282</v>
      </c>
      <c r="C10" s="20" t="s">
        <v>298</v>
      </c>
      <c r="D10" s="12" t="s">
        <v>299</v>
      </c>
      <c r="E10" s="12" t="s">
        <v>300</v>
      </c>
      <c r="F10" s="26" t="s">
        <v>90</v>
      </c>
      <c r="G10" s="20" t="s">
        <v>90</v>
      </c>
      <c r="H10" s="20" t="s">
        <v>86</v>
      </c>
      <c r="I10" s="12"/>
    </row>
    <row r="11" spans="1:9" ht="36" customHeight="1" thickBot="1" x14ac:dyDescent="0.3">
      <c r="A11" s="21">
        <v>7</v>
      </c>
      <c r="B11" s="18" t="s">
        <v>282</v>
      </c>
      <c r="C11" s="21" t="s">
        <v>301</v>
      </c>
      <c r="D11" s="18" t="s">
        <v>302</v>
      </c>
      <c r="E11" s="18" t="s">
        <v>303</v>
      </c>
      <c r="F11" s="27" t="s">
        <v>90</v>
      </c>
      <c r="G11" s="21" t="s">
        <v>97</v>
      </c>
      <c r="H11" s="21" t="s">
        <v>86</v>
      </c>
      <c r="I11" s="18"/>
    </row>
    <row r="12" spans="1:9" ht="51" customHeight="1" x14ac:dyDescent="0.25">
      <c r="A12" s="22">
        <v>8</v>
      </c>
      <c r="B12" s="19" t="s">
        <v>304</v>
      </c>
      <c r="C12" s="22" t="s">
        <v>305</v>
      </c>
      <c r="D12" s="19" t="s">
        <v>306</v>
      </c>
      <c r="E12" s="19" t="s">
        <v>307</v>
      </c>
      <c r="F12" s="31" t="s">
        <v>90</v>
      </c>
      <c r="G12" s="22" t="s">
        <v>90</v>
      </c>
      <c r="H12" s="22" t="s">
        <v>86</v>
      </c>
      <c r="I12" s="19"/>
    </row>
    <row r="13" spans="1:9" ht="81" customHeight="1" x14ac:dyDescent="0.25">
      <c r="A13" s="23">
        <v>9</v>
      </c>
      <c r="B13" s="17" t="s">
        <v>304</v>
      </c>
      <c r="C13" s="23" t="s">
        <v>308</v>
      </c>
      <c r="D13" s="17" t="s">
        <v>309</v>
      </c>
      <c r="E13" s="17" t="s">
        <v>310</v>
      </c>
      <c r="F13" s="29" t="s">
        <v>90</v>
      </c>
      <c r="G13" s="23" t="s">
        <v>90</v>
      </c>
      <c r="H13" s="23" t="s">
        <v>86</v>
      </c>
      <c r="I13" s="17"/>
    </row>
    <row r="14" spans="1:9" ht="51" customHeight="1" thickBot="1" x14ac:dyDescent="0.3">
      <c r="A14" s="21">
        <v>10</v>
      </c>
      <c r="B14" s="18" t="s">
        <v>304</v>
      </c>
      <c r="C14" s="21" t="s">
        <v>311</v>
      </c>
      <c r="D14" s="18" t="s">
        <v>312</v>
      </c>
      <c r="E14" s="18" t="s">
        <v>313</v>
      </c>
      <c r="F14" s="27" t="s">
        <v>90</v>
      </c>
      <c r="G14" s="21" t="s">
        <v>97</v>
      </c>
      <c r="H14" s="21" t="s">
        <v>86</v>
      </c>
      <c r="I14" s="18"/>
    </row>
    <row r="15" spans="1:9" ht="81" customHeight="1" x14ac:dyDescent="0.25">
      <c r="A15" s="22">
        <v>11</v>
      </c>
      <c r="B15" s="19" t="s">
        <v>314</v>
      </c>
      <c r="C15" s="22" t="s">
        <v>315</v>
      </c>
      <c r="D15" s="19" t="s">
        <v>316</v>
      </c>
      <c r="E15" s="19" t="s">
        <v>317</v>
      </c>
      <c r="F15" s="31" t="s">
        <v>90</v>
      </c>
      <c r="G15" s="22" t="s">
        <v>90</v>
      </c>
      <c r="H15" s="22" t="s">
        <v>86</v>
      </c>
      <c r="I15" s="19"/>
    </row>
    <row r="16" spans="1:9" ht="51" customHeight="1" thickBot="1" x14ac:dyDescent="0.3">
      <c r="A16" s="24">
        <v>12</v>
      </c>
      <c r="B16" s="16" t="s">
        <v>314</v>
      </c>
      <c r="C16" s="24" t="s">
        <v>318</v>
      </c>
      <c r="D16" s="16" t="s">
        <v>319</v>
      </c>
      <c r="E16" s="16" t="s">
        <v>320</v>
      </c>
      <c r="F16" s="32" t="s">
        <v>90</v>
      </c>
      <c r="G16" s="24" t="s">
        <v>97</v>
      </c>
      <c r="H16" s="24" t="s">
        <v>86</v>
      </c>
      <c r="I16" s="16"/>
    </row>
    <row r="17" spans="1:9" ht="66" customHeight="1" x14ac:dyDescent="0.25">
      <c r="A17" s="22">
        <v>13</v>
      </c>
      <c r="B17" s="19" t="s">
        <v>321</v>
      </c>
      <c r="C17" s="22" t="s">
        <v>322</v>
      </c>
      <c r="D17" s="19" t="s">
        <v>323</v>
      </c>
      <c r="E17" s="19" t="s">
        <v>324</v>
      </c>
      <c r="F17" s="31" t="s">
        <v>90</v>
      </c>
      <c r="G17" s="22" t="s">
        <v>90</v>
      </c>
      <c r="H17" s="22" t="s">
        <v>86</v>
      </c>
      <c r="I17" s="19"/>
    </row>
    <row r="18" spans="1:9" ht="36" customHeight="1" x14ac:dyDescent="0.25">
      <c r="A18" s="23">
        <v>14</v>
      </c>
      <c r="B18" s="17" t="s">
        <v>321</v>
      </c>
      <c r="C18" s="23" t="s">
        <v>325</v>
      </c>
      <c r="D18" s="17" t="s">
        <v>326</v>
      </c>
      <c r="E18" s="17" t="s">
        <v>327</v>
      </c>
      <c r="F18" s="29" t="s">
        <v>90</v>
      </c>
      <c r="G18" s="23" t="s">
        <v>97</v>
      </c>
      <c r="H18" s="23" t="s">
        <v>86</v>
      </c>
      <c r="I18" s="17"/>
    </row>
    <row r="20" spans="1:9" x14ac:dyDescent="0.25">
      <c r="A20" s="2" t="s">
        <v>227</v>
      </c>
      <c r="B20" s="2" t="str">
        <f>COUNTIF(H5:H18,"Corregido")&amp;" de 14 corregidos"</f>
        <v>0 de 14 corregidos</v>
      </c>
    </row>
  </sheetData>
  <autoFilter ref="A4:I18" xr:uid="{AD5331C1-CD7B-4A92-8F62-A83B45C9293A}"/>
  <mergeCells count="1">
    <mergeCell ref="A2:I2"/>
  </mergeCells>
  <conditionalFormatting sqref="H5:H18">
    <cfRule type="cellIs" dxfId="5" priority="1" stopIfTrue="1" operator="equal">
      <formula>"Corregido"</formula>
    </cfRule>
    <cfRule type="cellIs" dxfId="4" priority="2" stopIfTrue="1" operator="equal">
      <formula>"En proceso"</formula>
    </cfRule>
    <cfRule type="cellIs" dxfId="3" priority="3" stopIfTrue="1" operator="equal">
      <formula>"Bloqueado"</formula>
    </cfRule>
  </conditionalFormatting>
  <dataValidations count="1">
    <dataValidation type="list" allowBlank="1" showInputMessage="1" showErrorMessage="1" sqref="H5:H18" xr:uid="{5899522C-8208-454E-A5FB-B3CF11763376}">
      <mc:AlternateContent xmlns:x12ac="http://schemas.microsoft.com/office/spreadsheetml/2011/1/ac" xmlns:mc="http://schemas.openxmlformats.org/markup-compatibility/2006">
        <mc:Choice Requires="x12ac">
          <x12ac:list>"Pendiente,En proceso,Corregido,Bloqueado"</x12ac:list>
        </mc:Choice>
        <mc:Fallback>
          <formula1>"Pendiente,En proceso,Corregido,Bloqueado"</formula1>
        </mc:Fallback>
      </mc:AlternateContent>
    </dataValidation>
  </dataValidations>
  <pageMargins left="0.7" right="0.7" top="0.75" bottom="0.75" header="0.3" footer="0.3"/>
  <pageSetup fitToHeight="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AE40-06C4-4CF4-8E82-0BA038437021}">
  <sheetPr>
    <pageSetUpPr fitToPage="1"/>
  </sheetPr>
  <dimension ref="A1:I23"/>
  <sheetViews>
    <sheetView workbookViewId="0">
      <pane ySplit="4" topLeftCell="A5" activePane="bottomLeft" state="frozenSplit"/>
      <selection pane="bottomLeft"/>
    </sheetView>
  </sheetViews>
  <sheetFormatPr baseColWidth="10" defaultColWidth="11.42578125" defaultRowHeight="15" x14ac:dyDescent="0.25"/>
  <cols>
    <col min="1" max="1" width="5.7109375" customWidth="1"/>
    <col min="2" max="2" width="24.7109375" customWidth="1"/>
    <col min="3" max="3" width="13.7109375" customWidth="1"/>
    <col min="4" max="4" width="45.7109375" customWidth="1"/>
    <col min="5" max="5" width="55.7109375" customWidth="1"/>
    <col min="6" max="7" width="10.7109375" customWidth="1"/>
    <col min="8" max="8" width="12.7109375" customWidth="1"/>
    <col min="9" max="9" width="30.7109375" customWidth="1"/>
  </cols>
  <sheetData>
    <row r="1" spans="1:9" ht="21" x14ac:dyDescent="0.35">
      <c r="A1" s="1" t="s">
        <v>328</v>
      </c>
    </row>
    <row r="2" spans="1:9" ht="30" customHeight="1" x14ac:dyDescent="0.25">
      <c r="A2" s="39" t="s">
        <v>329</v>
      </c>
      <c r="B2" s="39"/>
      <c r="C2" s="39"/>
      <c r="D2" s="39"/>
      <c r="E2" s="39"/>
      <c r="F2" s="39"/>
      <c r="G2" s="39"/>
      <c r="H2" s="39"/>
      <c r="I2" s="39"/>
    </row>
    <row r="4" spans="1:9" ht="32.1" customHeight="1" x14ac:dyDescent="0.25">
      <c r="A4" s="11" t="s">
        <v>71</v>
      </c>
      <c r="B4" s="11" t="s">
        <v>72</v>
      </c>
      <c r="C4" s="11" t="s">
        <v>73</v>
      </c>
      <c r="D4" s="11" t="s">
        <v>74</v>
      </c>
      <c r="E4" s="11" t="s">
        <v>75</v>
      </c>
      <c r="F4" s="11" t="s">
        <v>76</v>
      </c>
      <c r="G4" s="11" t="s">
        <v>77</v>
      </c>
      <c r="H4" s="11" t="s">
        <v>78</v>
      </c>
      <c r="I4" s="11" t="s">
        <v>79</v>
      </c>
    </row>
    <row r="5" spans="1:9" ht="36" customHeight="1" x14ac:dyDescent="0.25">
      <c r="A5" s="20">
        <v>1</v>
      </c>
      <c r="B5" s="12" t="s">
        <v>330</v>
      </c>
      <c r="C5" s="20" t="s">
        <v>331</v>
      </c>
      <c r="D5" s="12" t="s">
        <v>332</v>
      </c>
      <c r="E5" s="12" t="s">
        <v>333</v>
      </c>
      <c r="F5" s="26" t="s">
        <v>90</v>
      </c>
      <c r="G5" s="20" t="s">
        <v>90</v>
      </c>
      <c r="H5" s="20" t="s">
        <v>86</v>
      </c>
      <c r="I5" s="12"/>
    </row>
    <row r="6" spans="1:9" ht="51" customHeight="1" x14ac:dyDescent="0.25">
      <c r="A6" s="20">
        <v>2</v>
      </c>
      <c r="B6" s="12" t="s">
        <v>330</v>
      </c>
      <c r="C6" s="20" t="s">
        <v>334</v>
      </c>
      <c r="D6" s="12" t="s">
        <v>335</v>
      </c>
      <c r="E6" s="12" t="s">
        <v>336</v>
      </c>
      <c r="F6" s="26" t="s">
        <v>90</v>
      </c>
      <c r="G6" s="20" t="s">
        <v>90</v>
      </c>
      <c r="H6" s="20" t="s">
        <v>86</v>
      </c>
      <c r="I6" s="12"/>
    </row>
    <row r="7" spans="1:9" ht="51" customHeight="1" thickBot="1" x14ac:dyDescent="0.3">
      <c r="A7" s="21">
        <v>3</v>
      </c>
      <c r="B7" s="18" t="s">
        <v>330</v>
      </c>
      <c r="C7" s="21" t="s">
        <v>337</v>
      </c>
      <c r="D7" s="18" t="s">
        <v>338</v>
      </c>
      <c r="E7" s="18" t="s">
        <v>339</v>
      </c>
      <c r="F7" s="27" t="s">
        <v>90</v>
      </c>
      <c r="G7" s="21" t="s">
        <v>97</v>
      </c>
      <c r="H7" s="21" t="s">
        <v>86</v>
      </c>
      <c r="I7" s="18"/>
    </row>
    <row r="8" spans="1:9" ht="66" customHeight="1" x14ac:dyDescent="0.25">
      <c r="A8" s="22">
        <v>4</v>
      </c>
      <c r="B8" s="19" t="s">
        <v>340</v>
      </c>
      <c r="C8" s="22" t="s">
        <v>341</v>
      </c>
      <c r="D8" s="19" t="s">
        <v>342</v>
      </c>
      <c r="E8" s="19" t="s">
        <v>343</v>
      </c>
      <c r="F8" s="31" t="s">
        <v>90</v>
      </c>
      <c r="G8" s="22" t="s">
        <v>90</v>
      </c>
      <c r="H8" s="22" t="s">
        <v>86</v>
      </c>
      <c r="I8" s="19"/>
    </row>
    <row r="9" spans="1:9" ht="51" customHeight="1" x14ac:dyDescent="0.25">
      <c r="A9" s="23">
        <v>5</v>
      </c>
      <c r="B9" s="17" t="s">
        <v>340</v>
      </c>
      <c r="C9" s="23" t="s">
        <v>344</v>
      </c>
      <c r="D9" s="17" t="s">
        <v>345</v>
      </c>
      <c r="E9" s="17" t="s">
        <v>346</v>
      </c>
      <c r="F9" s="29" t="s">
        <v>90</v>
      </c>
      <c r="G9" s="23" t="s">
        <v>97</v>
      </c>
      <c r="H9" s="23" t="s">
        <v>86</v>
      </c>
      <c r="I9" s="17"/>
    </row>
    <row r="10" spans="1:9" ht="51" customHeight="1" thickBot="1" x14ac:dyDescent="0.3">
      <c r="A10" s="21">
        <v>6</v>
      </c>
      <c r="B10" s="18" t="s">
        <v>340</v>
      </c>
      <c r="C10" s="21" t="s">
        <v>347</v>
      </c>
      <c r="D10" s="18" t="s">
        <v>348</v>
      </c>
      <c r="E10" s="18" t="s">
        <v>279</v>
      </c>
      <c r="F10" s="27" t="s">
        <v>90</v>
      </c>
      <c r="G10" s="21" t="s">
        <v>97</v>
      </c>
      <c r="H10" s="21" t="s">
        <v>86</v>
      </c>
      <c r="I10" s="18"/>
    </row>
    <row r="11" spans="1:9" ht="66" customHeight="1" x14ac:dyDescent="0.25">
      <c r="A11" s="22">
        <v>7</v>
      </c>
      <c r="B11" s="19" t="s">
        <v>349</v>
      </c>
      <c r="C11" s="22" t="s">
        <v>350</v>
      </c>
      <c r="D11" s="19" t="s">
        <v>351</v>
      </c>
      <c r="E11" s="19" t="s">
        <v>352</v>
      </c>
      <c r="F11" s="28" t="s">
        <v>85</v>
      </c>
      <c r="G11" s="22" t="s">
        <v>85</v>
      </c>
      <c r="H11" s="22" t="s">
        <v>86</v>
      </c>
      <c r="I11" s="19"/>
    </row>
    <row r="12" spans="1:9" ht="51" customHeight="1" x14ac:dyDescent="0.25">
      <c r="A12" s="23">
        <v>8</v>
      </c>
      <c r="B12" s="17" t="s">
        <v>349</v>
      </c>
      <c r="C12" s="23" t="s">
        <v>353</v>
      </c>
      <c r="D12" s="17" t="s">
        <v>354</v>
      </c>
      <c r="E12" s="17" t="s">
        <v>355</v>
      </c>
      <c r="F12" s="29" t="s">
        <v>90</v>
      </c>
      <c r="G12" s="23" t="s">
        <v>90</v>
      </c>
      <c r="H12" s="23" t="s">
        <v>86</v>
      </c>
      <c r="I12" s="17"/>
    </row>
    <row r="13" spans="1:9" ht="81" customHeight="1" x14ac:dyDescent="0.25">
      <c r="A13" s="20">
        <v>9</v>
      </c>
      <c r="B13" s="12" t="s">
        <v>349</v>
      </c>
      <c r="C13" s="20" t="s">
        <v>356</v>
      </c>
      <c r="D13" s="12" t="s">
        <v>357</v>
      </c>
      <c r="E13" s="12" t="s">
        <v>358</v>
      </c>
      <c r="F13" s="26" t="s">
        <v>90</v>
      </c>
      <c r="G13" s="20" t="s">
        <v>90</v>
      </c>
      <c r="H13" s="20" t="s">
        <v>86</v>
      </c>
      <c r="I13" s="12"/>
    </row>
    <row r="14" spans="1:9" ht="51" customHeight="1" x14ac:dyDescent="0.25">
      <c r="A14" s="20">
        <v>10</v>
      </c>
      <c r="B14" s="12" t="s">
        <v>349</v>
      </c>
      <c r="C14" s="20" t="s">
        <v>359</v>
      </c>
      <c r="D14" s="12" t="s">
        <v>360</v>
      </c>
      <c r="E14" s="12" t="s">
        <v>361</v>
      </c>
      <c r="F14" s="26" t="s">
        <v>90</v>
      </c>
      <c r="G14" s="20" t="s">
        <v>90</v>
      </c>
      <c r="H14" s="20" t="s">
        <v>86</v>
      </c>
      <c r="I14" s="12"/>
    </row>
    <row r="15" spans="1:9" ht="66" customHeight="1" x14ac:dyDescent="0.25">
      <c r="A15" s="20">
        <v>11</v>
      </c>
      <c r="B15" s="12" t="s">
        <v>349</v>
      </c>
      <c r="C15" s="20" t="s">
        <v>362</v>
      </c>
      <c r="D15" s="12" t="s">
        <v>363</v>
      </c>
      <c r="E15" s="12" t="s">
        <v>364</v>
      </c>
      <c r="F15" s="26" t="s">
        <v>90</v>
      </c>
      <c r="G15" s="20" t="s">
        <v>97</v>
      </c>
      <c r="H15" s="20" t="s">
        <v>86</v>
      </c>
      <c r="I15" s="12"/>
    </row>
    <row r="16" spans="1:9" ht="51" customHeight="1" x14ac:dyDescent="0.25">
      <c r="A16" s="20">
        <v>12</v>
      </c>
      <c r="B16" s="12" t="s">
        <v>349</v>
      </c>
      <c r="C16" s="20" t="s">
        <v>365</v>
      </c>
      <c r="D16" s="12" t="s">
        <v>366</v>
      </c>
      <c r="E16" s="12" t="s">
        <v>367</v>
      </c>
      <c r="F16" s="26" t="s">
        <v>90</v>
      </c>
      <c r="G16" s="20" t="s">
        <v>97</v>
      </c>
      <c r="H16" s="20" t="s">
        <v>86</v>
      </c>
      <c r="I16" s="12"/>
    </row>
    <row r="17" spans="1:9" ht="36" customHeight="1" thickBot="1" x14ac:dyDescent="0.3">
      <c r="A17" s="21">
        <v>13</v>
      </c>
      <c r="B17" s="18" t="s">
        <v>349</v>
      </c>
      <c r="C17" s="21" t="s">
        <v>368</v>
      </c>
      <c r="D17" s="18" t="s">
        <v>369</v>
      </c>
      <c r="E17" s="18" t="s">
        <v>370</v>
      </c>
      <c r="F17" s="27" t="s">
        <v>90</v>
      </c>
      <c r="G17" s="21" t="s">
        <v>97</v>
      </c>
      <c r="H17" s="21" t="s">
        <v>86</v>
      </c>
      <c r="I17" s="18"/>
    </row>
    <row r="18" spans="1:9" ht="51" customHeight="1" x14ac:dyDescent="0.25">
      <c r="A18" s="22">
        <v>14</v>
      </c>
      <c r="B18" s="19" t="s">
        <v>371</v>
      </c>
      <c r="C18" s="22" t="s">
        <v>372</v>
      </c>
      <c r="D18" s="19" t="s">
        <v>373</v>
      </c>
      <c r="E18" s="19" t="s">
        <v>374</v>
      </c>
      <c r="F18" s="31" t="s">
        <v>90</v>
      </c>
      <c r="G18" s="22" t="s">
        <v>90</v>
      </c>
      <c r="H18" s="22" t="s">
        <v>86</v>
      </c>
      <c r="I18" s="19"/>
    </row>
    <row r="19" spans="1:9" ht="51" customHeight="1" x14ac:dyDescent="0.25">
      <c r="A19" s="23">
        <v>15</v>
      </c>
      <c r="B19" s="17" t="s">
        <v>371</v>
      </c>
      <c r="C19" s="23" t="s">
        <v>375</v>
      </c>
      <c r="D19" s="17" t="s">
        <v>376</v>
      </c>
      <c r="E19" s="17" t="s">
        <v>377</v>
      </c>
      <c r="F19" s="29" t="s">
        <v>90</v>
      </c>
      <c r="G19" s="23" t="s">
        <v>97</v>
      </c>
      <c r="H19" s="23" t="s">
        <v>86</v>
      </c>
      <c r="I19" s="17"/>
    </row>
    <row r="20" spans="1:9" ht="51" customHeight="1" x14ac:dyDescent="0.25">
      <c r="A20" s="20">
        <v>16</v>
      </c>
      <c r="B20" s="12" t="s">
        <v>371</v>
      </c>
      <c r="C20" s="20" t="s">
        <v>378</v>
      </c>
      <c r="D20" s="12" t="s">
        <v>379</v>
      </c>
      <c r="E20" s="12" t="s">
        <v>380</v>
      </c>
      <c r="F20" s="26" t="s">
        <v>90</v>
      </c>
      <c r="G20" s="20" t="s">
        <v>97</v>
      </c>
      <c r="H20" s="20" t="s">
        <v>86</v>
      </c>
      <c r="I20" s="12"/>
    </row>
    <row r="21" spans="1:9" ht="51" customHeight="1" x14ac:dyDescent="0.25">
      <c r="A21" s="20">
        <v>17</v>
      </c>
      <c r="B21" s="12" t="s">
        <v>371</v>
      </c>
      <c r="C21" s="20" t="s">
        <v>381</v>
      </c>
      <c r="D21" s="12" t="s">
        <v>382</v>
      </c>
      <c r="E21" s="12" t="s">
        <v>383</v>
      </c>
      <c r="F21" s="26" t="s">
        <v>90</v>
      </c>
      <c r="G21" s="20" t="s">
        <v>97</v>
      </c>
      <c r="H21" s="20" t="s">
        <v>86</v>
      </c>
      <c r="I21" s="12"/>
    </row>
    <row r="23" spans="1:9" x14ac:dyDescent="0.25">
      <c r="A23" s="2" t="s">
        <v>227</v>
      </c>
      <c r="B23" s="2" t="str">
        <f>COUNTIF(H5:H21,"Corregido")&amp;" de 17 corregidos"</f>
        <v>0 de 17 corregidos</v>
      </c>
    </row>
  </sheetData>
  <autoFilter ref="A4:I21" xr:uid="{63C0AE40-06C4-4CF4-8E82-0BA038437021}"/>
  <mergeCells count="1">
    <mergeCell ref="A2:I2"/>
  </mergeCells>
  <conditionalFormatting sqref="H5:H21">
    <cfRule type="cellIs" dxfId="2" priority="1" stopIfTrue="1" operator="equal">
      <formula>"Corregido"</formula>
    </cfRule>
    <cfRule type="cellIs" dxfId="1" priority="2" stopIfTrue="1" operator="equal">
      <formula>"En proceso"</formula>
    </cfRule>
    <cfRule type="cellIs" dxfId="0" priority="3" stopIfTrue="1" operator="equal">
      <formula>"Bloqueado"</formula>
    </cfRule>
  </conditionalFormatting>
  <dataValidations count="1">
    <dataValidation type="list" allowBlank="1" showInputMessage="1" showErrorMessage="1" sqref="H5:H21" xr:uid="{61738DCB-F270-4653-B1D8-0651FDC34F3F}">
      <mc:AlternateContent xmlns:x12ac="http://schemas.microsoft.com/office/spreadsheetml/2011/1/ac" xmlns:mc="http://schemas.openxmlformats.org/markup-compatibility/2006">
        <mc:Choice Requires="x12ac">
          <x12ac:list>"Pendiente,En proceso,Corregido,Bloqueado"</x12ac:list>
        </mc:Choice>
        <mc:Fallback>
          <formula1>"Pendiente,En proceso,Corregido,Bloqueado"</formula1>
        </mc:Fallback>
      </mc:AlternateContent>
    </dataValidation>
  </dataValidations>
  <pageMargins left="0.7" right="0.7" top="0.75" bottom="0.75" header="0.3" footer="0.3"/>
  <pageSetup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Resumen</vt:lpstr>
      <vt:lpstr>Paquete 1 - Esteban</vt:lpstr>
      <vt:lpstr>Paquete 2 - Danny</vt:lpstr>
      <vt:lpstr>Paquete 3 - Gerald</vt:lpstr>
      <vt:lpstr>Paquete 4 - David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Valverde</dc:creator>
  <cp:keywords/>
  <dc:description/>
  <cp:lastModifiedBy>Esteban Valverde</cp:lastModifiedBy>
  <cp:revision/>
  <dcterms:created xsi:type="dcterms:W3CDTF">2026-10-30T01:33:26Z</dcterms:created>
  <dcterms:modified xsi:type="dcterms:W3CDTF">2026-10-31T01:18:53Z</dcterms:modified>
  <cp:category/>
  <cp:contentStatus/>
</cp:coreProperties>
</file>